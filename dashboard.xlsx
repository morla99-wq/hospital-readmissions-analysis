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<sst xmlns="http://schemas.openxmlformats.org/spreadsheetml/2006/main" count="6810" uniqueCount="1476">
  <si>
    <t xml:space="preserve">patient_id</t>
  </si>
  <si>
    <t xml:space="preserve">age</t>
  </si>
  <si>
    <t xml:space="preserve">gender</t>
  </si>
  <si>
    <t xml:space="preserve">hospital</t>
  </si>
  <si>
    <t xml:space="preserve">department</t>
  </si>
  <si>
    <t xml:space="preserve">diagnosis</t>
  </si>
  <si>
    <t xml:space="preserve">insurance_type</t>
  </si>
  <si>
    <t xml:space="preserve">admit_date</t>
  </si>
  <si>
    <t xml:space="preserve">discharge_date</t>
  </si>
  <si>
    <t xml:space="preserve">length_of_stay_days</t>
  </si>
  <si>
    <t xml:space="preserve">total_cost_usd</t>
  </si>
  <si>
    <t xml:space="preserve">outcome</t>
  </si>
  <si>
    <t xml:space="preserve">satisfaction_score</t>
  </si>
  <si>
    <t xml:space="preserve">P10000</t>
  </si>
  <si>
    <t xml:space="preserve">Male</t>
  </si>
  <si>
    <t xml:space="preserve">Riverside Medical</t>
  </si>
  <si>
    <t xml:space="preserve">Orthopedics</t>
  </si>
  <si>
    <t xml:space="preserve">Osteoarthritis</t>
  </si>
  <si>
    <t xml:space="preserve">Medicaid</t>
  </si>
  <si>
    <t xml:space="preserve">2022-04-15</t>
  </si>
  <si>
    <t xml:space="preserve">2022-04-16</t>
  </si>
  <si>
    <t xml:space="preserve">Discharged</t>
  </si>
  <si>
    <t xml:space="preserve">P10001</t>
  </si>
  <si>
    <t xml:space="preserve">Valley Health</t>
  </si>
  <si>
    <t xml:space="preserve">Oncology</t>
  </si>
  <si>
    <t xml:space="preserve">Lung Cancer</t>
  </si>
  <si>
    <t xml:space="preserve">Uninsured</t>
  </si>
  <si>
    <t xml:space="preserve">2022-07-23</t>
  </si>
  <si>
    <t xml:space="preserve">2022-07-31</t>
  </si>
  <si>
    <t xml:space="preserve">P10002</t>
  </si>
  <si>
    <t xml:space="preserve">Female</t>
  </si>
  <si>
    <t xml:space="preserve">City General</t>
  </si>
  <si>
    <t xml:space="preserve">Rotator Cuff Tear</t>
  </si>
  <si>
    <t xml:space="preserve">Blue Cross</t>
  </si>
  <si>
    <t xml:space="preserve">2022-10-12</t>
  </si>
  <si>
    <t xml:space="preserve">2022-10-19</t>
  </si>
  <si>
    <t xml:space="preserve">P10003</t>
  </si>
  <si>
    <t xml:space="preserve">Pulmonology</t>
  </si>
  <si>
    <t xml:space="preserve">Pulmonary Embolism</t>
  </si>
  <si>
    <t xml:space="preserve">2022-05-08</t>
  </si>
  <si>
    <t xml:space="preserve">2022-05-13</t>
  </si>
  <si>
    <t xml:space="preserve">P10004</t>
  </si>
  <si>
    <t xml:space="preserve">Cardiology</t>
  </si>
  <si>
    <t xml:space="preserve">Heart Failure</t>
  </si>
  <si>
    <t xml:space="preserve">2022-03-23</t>
  </si>
  <si>
    <t xml:space="preserve">2022-03-30</t>
  </si>
  <si>
    <t xml:space="preserve">P10005</t>
  </si>
  <si>
    <t xml:space="preserve">Spinal Stenosis</t>
  </si>
  <si>
    <t xml:space="preserve">United Health</t>
  </si>
  <si>
    <t xml:space="preserve">2023-12-01</t>
  </si>
  <si>
    <t xml:space="preserve">2023-12-05</t>
  </si>
  <si>
    <t xml:space="preserve">P10006</t>
  </si>
  <si>
    <t xml:space="preserve">Northside Clinic</t>
  </si>
  <si>
    <t xml:space="preserve">Emergency</t>
  </si>
  <si>
    <t xml:space="preserve">Severe Laceration</t>
  </si>
  <si>
    <t xml:space="preserve">2023-12-06</t>
  </si>
  <si>
    <t xml:space="preserve">2023-12-07</t>
  </si>
  <si>
    <t xml:space="preserve">Readmitted within 30d</t>
  </si>
  <si>
    <t xml:space="preserve">P10007</t>
  </si>
  <si>
    <t xml:space="preserve">Neurology</t>
  </si>
  <si>
    <t xml:space="preserve">Migraine</t>
  </si>
  <si>
    <t xml:space="preserve">2023-08-04</t>
  </si>
  <si>
    <t xml:space="preserve">2023-08-07</t>
  </si>
  <si>
    <t xml:space="preserve">P10008</t>
  </si>
  <si>
    <t xml:space="preserve">St. Mary's</t>
  </si>
  <si>
    <t xml:space="preserve">Epilepsy</t>
  </si>
  <si>
    <t xml:space="preserve">2023-07-29</t>
  </si>
  <si>
    <t xml:space="preserve">2023-08-01</t>
  </si>
  <si>
    <t xml:space="preserve">P10009</t>
  </si>
  <si>
    <t xml:space="preserve">Hypertension</t>
  </si>
  <si>
    <t xml:space="preserve">2023-10-05</t>
  </si>
  <si>
    <t xml:space="preserve">2023-10-08</t>
  </si>
  <si>
    <t xml:space="preserve">P10010</t>
  </si>
  <si>
    <t xml:space="preserve">2022-01-12</t>
  </si>
  <si>
    <t xml:space="preserve">2022-01-14</t>
  </si>
  <si>
    <t xml:space="preserve">P10011</t>
  </si>
  <si>
    <t xml:space="preserve">Appendicitis</t>
  </si>
  <si>
    <t xml:space="preserve">Aetna</t>
  </si>
  <si>
    <t xml:space="preserve">2022-01-04</t>
  </si>
  <si>
    <t xml:space="preserve">2022-01-05</t>
  </si>
  <si>
    <t xml:space="preserve">P10012</t>
  </si>
  <si>
    <t xml:space="preserve">Atrial Fibrillation</t>
  </si>
  <si>
    <t xml:space="preserve">2023-06-04</t>
  </si>
  <si>
    <t xml:space="preserve">2023-06-09</t>
  </si>
  <si>
    <t xml:space="preserve">P10013</t>
  </si>
  <si>
    <t xml:space="preserve">Multiple Sclerosis</t>
  </si>
  <si>
    <t xml:space="preserve">Medicare</t>
  </si>
  <si>
    <t xml:space="preserve">2022-04-25</t>
  </si>
  <si>
    <t xml:space="preserve">2022-05-01</t>
  </si>
  <si>
    <t xml:space="preserve">P10014</t>
  </si>
  <si>
    <t xml:space="preserve">Fracture</t>
  </si>
  <si>
    <t xml:space="preserve">2023-05-13</t>
  </si>
  <si>
    <t xml:space="preserve">2023-05-19</t>
  </si>
  <si>
    <t xml:space="preserve">P10015</t>
  </si>
  <si>
    <t xml:space="preserve">Lymphoma</t>
  </si>
  <si>
    <t xml:space="preserve">2023-07-07</t>
  </si>
  <si>
    <t xml:space="preserve">2023-07-18</t>
  </si>
  <si>
    <t xml:space="preserve">Transferred</t>
  </si>
  <si>
    <t xml:space="preserve">P10016</t>
  </si>
  <si>
    <t xml:space="preserve">2022-09-11</t>
  </si>
  <si>
    <t xml:space="preserve">2022-09-19</t>
  </si>
  <si>
    <t xml:space="preserve">P10017</t>
  </si>
  <si>
    <t xml:space="preserve">2022-03-14</t>
  </si>
  <si>
    <t xml:space="preserve">2022-03-19</t>
  </si>
  <si>
    <t xml:space="preserve">P10018</t>
  </si>
  <si>
    <t xml:space="preserve">2023-04-30</t>
  </si>
  <si>
    <t xml:space="preserve">2023-05-09</t>
  </si>
  <si>
    <t xml:space="preserve">P10019</t>
  </si>
  <si>
    <t xml:space="preserve">Coronary Artery Disease</t>
  </si>
  <si>
    <t xml:space="preserve">2022-12-14</t>
  </si>
  <si>
    <t xml:space="preserve">2022-12-20</t>
  </si>
  <si>
    <t xml:space="preserve">P10020</t>
  </si>
  <si>
    <t xml:space="preserve">2023-04-19</t>
  </si>
  <si>
    <t xml:space="preserve">2023-04-22</t>
  </si>
  <si>
    <t xml:space="preserve">P10021</t>
  </si>
  <si>
    <t xml:space="preserve">2023-05-14</t>
  </si>
  <si>
    <t xml:space="preserve">P10022</t>
  </si>
  <si>
    <t xml:space="preserve">2022-10-20</t>
  </si>
  <si>
    <t xml:space="preserve">2022-10-21</t>
  </si>
  <si>
    <t xml:space="preserve">Deceased</t>
  </si>
  <si>
    <t xml:space="preserve">P10023</t>
  </si>
  <si>
    <t xml:space="preserve">2022-03-01</t>
  </si>
  <si>
    <t xml:space="preserve">2022-03-03</t>
  </si>
  <si>
    <t xml:space="preserve">P10024</t>
  </si>
  <si>
    <t xml:space="preserve">2022-03-12</t>
  </si>
  <si>
    <t xml:space="preserve">2022-03-21</t>
  </si>
  <si>
    <t xml:space="preserve">P10025</t>
  </si>
  <si>
    <t xml:space="preserve">2022-03-25</t>
  </si>
  <si>
    <t xml:space="preserve">P10026</t>
  </si>
  <si>
    <t xml:space="preserve">2023-10-23</t>
  </si>
  <si>
    <t xml:space="preserve">2023-10-24</t>
  </si>
  <si>
    <t xml:space="preserve">P10027</t>
  </si>
  <si>
    <t xml:space="preserve">2023-07-05</t>
  </si>
  <si>
    <t xml:space="preserve">2023-07-12</t>
  </si>
  <si>
    <t xml:space="preserve">P10028</t>
  </si>
  <si>
    <t xml:space="preserve">2023-11-01</t>
  </si>
  <si>
    <t xml:space="preserve">2023-11-02</t>
  </si>
  <si>
    <t xml:space="preserve">P10029</t>
  </si>
  <si>
    <t xml:space="preserve">2023-07-21</t>
  </si>
  <si>
    <t xml:space="preserve">2023-07-26</t>
  </si>
  <si>
    <t xml:space="preserve">P10030</t>
  </si>
  <si>
    <t xml:space="preserve">2023-03-10</t>
  </si>
  <si>
    <t xml:space="preserve">2023-03-17</t>
  </si>
  <si>
    <t xml:space="preserve">P10031</t>
  </si>
  <si>
    <t xml:space="preserve">2023-12-24</t>
  </si>
  <si>
    <t xml:space="preserve">2023-12-28</t>
  </si>
  <si>
    <t xml:space="preserve">P10032</t>
  </si>
  <si>
    <t xml:space="preserve">Breast Cancer</t>
  </si>
  <si>
    <t xml:space="preserve">2022-05-11</t>
  </si>
  <si>
    <t xml:space="preserve">2022-05-17</t>
  </si>
  <si>
    <t xml:space="preserve">P10033</t>
  </si>
  <si>
    <t xml:space="preserve">Asthma</t>
  </si>
  <si>
    <t xml:space="preserve">2022-04-18</t>
  </si>
  <si>
    <t xml:space="preserve">P10034</t>
  </si>
  <si>
    <t xml:space="preserve">Chest Pain</t>
  </si>
  <si>
    <t xml:space="preserve">2022-12-07</t>
  </si>
  <si>
    <t xml:space="preserve">2022-12-08</t>
  </si>
  <si>
    <t xml:space="preserve">P10035</t>
  </si>
  <si>
    <t xml:space="preserve">COPD</t>
  </si>
  <si>
    <t xml:space="preserve">2022-02-09</t>
  </si>
  <si>
    <t xml:space="preserve">2022-02-14</t>
  </si>
  <si>
    <t xml:space="preserve">P10036</t>
  </si>
  <si>
    <t xml:space="preserve">2022-12-03</t>
  </si>
  <si>
    <t xml:space="preserve">P10037</t>
  </si>
  <si>
    <t xml:space="preserve">2022-09-25</t>
  </si>
  <si>
    <t xml:space="preserve">2022-10-03</t>
  </si>
  <si>
    <t xml:space="preserve">P10038</t>
  </si>
  <si>
    <t xml:space="preserve">2023-08-14</t>
  </si>
  <si>
    <t xml:space="preserve">2023-08-23</t>
  </si>
  <si>
    <t xml:space="preserve">P10039</t>
  </si>
  <si>
    <t xml:space="preserve">2022-12-05</t>
  </si>
  <si>
    <t xml:space="preserve">2022-12-06</t>
  </si>
  <si>
    <t xml:space="preserve">P10040</t>
  </si>
  <si>
    <t xml:space="preserve">Pneumonia</t>
  </si>
  <si>
    <t xml:space="preserve">2022-05-15</t>
  </si>
  <si>
    <t xml:space="preserve">P10041</t>
  </si>
  <si>
    <t xml:space="preserve">2022-10-29</t>
  </si>
  <si>
    <t xml:space="preserve">P10042</t>
  </si>
  <si>
    <t xml:space="preserve">2023-06-12</t>
  </si>
  <si>
    <t xml:space="preserve">2023-06-18</t>
  </si>
  <si>
    <t xml:space="preserve">P10043</t>
  </si>
  <si>
    <t xml:space="preserve">2022-02-17</t>
  </si>
  <si>
    <t xml:space="preserve">2022-02-21</t>
  </si>
  <si>
    <t xml:space="preserve">P10044</t>
  </si>
  <si>
    <t xml:space="preserve">2023-11-03</t>
  </si>
  <si>
    <t xml:space="preserve">2023-11-05</t>
  </si>
  <si>
    <t xml:space="preserve">P10045</t>
  </si>
  <si>
    <t xml:space="preserve">2023-07-25</t>
  </si>
  <si>
    <t xml:space="preserve">2023-07-28</t>
  </si>
  <si>
    <t xml:space="preserve">P10046</t>
  </si>
  <si>
    <t xml:space="preserve">2023-04-02</t>
  </si>
  <si>
    <t xml:space="preserve">2023-04-08</t>
  </si>
  <si>
    <t xml:space="preserve">P10047</t>
  </si>
  <si>
    <t xml:space="preserve">2022-09-02</t>
  </si>
  <si>
    <t xml:space="preserve">2022-09-09</t>
  </si>
  <si>
    <t xml:space="preserve">P10048</t>
  </si>
  <si>
    <t xml:space="preserve">2023-12-12</t>
  </si>
  <si>
    <t xml:space="preserve">2023-12-18</t>
  </si>
  <si>
    <t xml:space="preserve">P10049</t>
  </si>
  <si>
    <t xml:space="preserve">2023-02-03</t>
  </si>
  <si>
    <t xml:space="preserve">2023-02-10</t>
  </si>
  <si>
    <t xml:space="preserve">P10050</t>
  </si>
  <si>
    <t xml:space="preserve">Stroke</t>
  </si>
  <si>
    <t xml:space="preserve">2023-03-06</t>
  </si>
  <si>
    <t xml:space="preserve">2023-03-09</t>
  </si>
  <si>
    <t xml:space="preserve">P10051</t>
  </si>
  <si>
    <t xml:space="preserve">2022-01-30</t>
  </si>
  <si>
    <t xml:space="preserve">2022-02-02</t>
  </si>
  <si>
    <t xml:space="preserve">P10052</t>
  </si>
  <si>
    <t xml:space="preserve">2023-10-21</t>
  </si>
  <si>
    <t xml:space="preserve">P10053</t>
  </si>
  <si>
    <t xml:space="preserve">2022-12-12</t>
  </si>
  <si>
    <t xml:space="preserve">2022-12-16</t>
  </si>
  <si>
    <t xml:space="preserve">P10054</t>
  </si>
  <si>
    <t xml:space="preserve">2022-08-18</t>
  </si>
  <si>
    <t xml:space="preserve">2022-08-21</t>
  </si>
  <si>
    <t xml:space="preserve">P10055</t>
  </si>
  <si>
    <t xml:space="preserve">2022-05-10</t>
  </si>
  <si>
    <t xml:space="preserve">P10056</t>
  </si>
  <si>
    <t xml:space="preserve">2022-11-15</t>
  </si>
  <si>
    <t xml:space="preserve">2022-11-20</t>
  </si>
  <si>
    <t xml:space="preserve">P10057</t>
  </si>
  <si>
    <t xml:space="preserve">2023-12-15</t>
  </si>
  <si>
    <t xml:space="preserve">2023-12-19</t>
  </si>
  <si>
    <t xml:space="preserve">P10058</t>
  </si>
  <si>
    <t xml:space="preserve">2023-01-15</t>
  </si>
  <si>
    <t xml:space="preserve">2023-01-25</t>
  </si>
  <si>
    <t xml:space="preserve">P10059</t>
  </si>
  <si>
    <t xml:space="preserve">2022-06-30</t>
  </si>
  <si>
    <t xml:space="preserve">2022-07-06</t>
  </si>
  <si>
    <t xml:space="preserve">P10060</t>
  </si>
  <si>
    <t xml:space="preserve">2022-09-12</t>
  </si>
  <si>
    <t xml:space="preserve">P10061</t>
  </si>
  <si>
    <t xml:space="preserve">2023-05-15</t>
  </si>
  <si>
    <t xml:space="preserve">P10062</t>
  </si>
  <si>
    <t xml:space="preserve">2023-02-21</t>
  </si>
  <si>
    <t xml:space="preserve">2023-02-22</t>
  </si>
  <si>
    <t xml:space="preserve">P10063</t>
  </si>
  <si>
    <t xml:space="preserve">2022-09-07</t>
  </si>
  <si>
    <t xml:space="preserve">2022-09-08</t>
  </si>
  <si>
    <t xml:space="preserve">P10064</t>
  </si>
  <si>
    <t xml:space="preserve">2023-12-21</t>
  </si>
  <si>
    <t xml:space="preserve">2023-12-25</t>
  </si>
  <si>
    <t xml:space="preserve">P10065</t>
  </si>
  <si>
    <t xml:space="preserve">2023-08-27</t>
  </si>
  <si>
    <t xml:space="preserve">2023-08-30</t>
  </si>
  <si>
    <t xml:space="preserve">P10066</t>
  </si>
  <si>
    <t xml:space="preserve">2022-11-06</t>
  </si>
  <si>
    <t xml:space="preserve">2022-11-11</t>
  </si>
  <si>
    <t xml:space="preserve">P10067</t>
  </si>
  <si>
    <t xml:space="preserve">2023-05-06</t>
  </si>
  <si>
    <t xml:space="preserve">2023-05-10</t>
  </si>
  <si>
    <t xml:space="preserve">P10068</t>
  </si>
  <si>
    <t xml:space="preserve">Diabetic Ketoacidosis</t>
  </si>
  <si>
    <t xml:space="preserve">2023-08-16</t>
  </si>
  <si>
    <t xml:space="preserve">P10069</t>
  </si>
  <si>
    <t xml:space="preserve">2023-01-26</t>
  </si>
  <si>
    <t xml:space="preserve">P10070</t>
  </si>
  <si>
    <t xml:space="preserve">2022-04-12</t>
  </si>
  <si>
    <t xml:space="preserve">2022-04-21</t>
  </si>
  <si>
    <t xml:space="preserve">P10071</t>
  </si>
  <si>
    <t xml:space="preserve">2023-12-10</t>
  </si>
  <si>
    <t xml:space="preserve">P10072</t>
  </si>
  <si>
    <t xml:space="preserve">2023-10-03</t>
  </si>
  <si>
    <t xml:space="preserve">P10073</t>
  </si>
  <si>
    <t xml:space="preserve">2022-11-16</t>
  </si>
  <si>
    <t xml:space="preserve">P10074</t>
  </si>
  <si>
    <t xml:space="preserve">2023-02-17</t>
  </si>
  <si>
    <t xml:space="preserve">2023-02-24</t>
  </si>
  <si>
    <t xml:space="preserve">P10075</t>
  </si>
  <si>
    <t xml:space="preserve">2022-08-23</t>
  </si>
  <si>
    <t xml:space="preserve">2022-08-29</t>
  </si>
  <si>
    <t xml:space="preserve">P10076</t>
  </si>
  <si>
    <t xml:space="preserve">2023-06-16</t>
  </si>
  <si>
    <t xml:space="preserve">2023-06-17</t>
  </si>
  <si>
    <t xml:space="preserve">P10077</t>
  </si>
  <si>
    <t xml:space="preserve">2022-11-25</t>
  </si>
  <si>
    <t xml:space="preserve">2022-11-30</t>
  </si>
  <si>
    <t xml:space="preserve">P10078</t>
  </si>
  <si>
    <t xml:space="preserve">2022-04-01</t>
  </si>
  <si>
    <t xml:space="preserve">2022-04-09</t>
  </si>
  <si>
    <t xml:space="preserve">P10079</t>
  </si>
  <si>
    <t xml:space="preserve">2022-07-12</t>
  </si>
  <si>
    <t xml:space="preserve">2022-07-13</t>
  </si>
  <si>
    <t xml:space="preserve">P10080</t>
  </si>
  <si>
    <t xml:space="preserve">2022-02-01</t>
  </si>
  <si>
    <t xml:space="preserve">P10081</t>
  </si>
  <si>
    <t xml:space="preserve">2022-08-19</t>
  </si>
  <si>
    <t xml:space="preserve">2022-08-28</t>
  </si>
  <si>
    <t xml:space="preserve">P10082</t>
  </si>
  <si>
    <t xml:space="preserve">2023-05-18</t>
  </si>
  <si>
    <t xml:space="preserve">P10083</t>
  </si>
  <si>
    <t xml:space="preserve">2022-10-10</t>
  </si>
  <si>
    <t xml:space="preserve">P10084</t>
  </si>
  <si>
    <t xml:space="preserve">2023-04-03</t>
  </si>
  <si>
    <t xml:space="preserve">P10085</t>
  </si>
  <si>
    <t xml:space="preserve">P10086</t>
  </si>
  <si>
    <t xml:space="preserve">2023-05-30</t>
  </si>
  <si>
    <t xml:space="preserve">2023-06-02</t>
  </si>
  <si>
    <t xml:space="preserve">P10087</t>
  </si>
  <si>
    <t xml:space="preserve">2022-05-28</t>
  </si>
  <si>
    <t xml:space="preserve">2022-05-29</t>
  </si>
  <si>
    <t xml:space="preserve">P10088</t>
  </si>
  <si>
    <t xml:space="preserve">2023-10-04</t>
  </si>
  <si>
    <t xml:space="preserve">2023-10-11</t>
  </si>
  <si>
    <t xml:space="preserve">P10089</t>
  </si>
  <si>
    <t xml:space="preserve">2022-04-03</t>
  </si>
  <si>
    <t xml:space="preserve">2022-04-06</t>
  </si>
  <si>
    <t xml:space="preserve">P10090</t>
  </si>
  <si>
    <t xml:space="preserve">2023-01-03</t>
  </si>
  <si>
    <t xml:space="preserve">2023-01-07</t>
  </si>
  <si>
    <t xml:space="preserve">P10091</t>
  </si>
  <si>
    <t xml:space="preserve">2023-01-27</t>
  </si>
  <si>
    <t xml:space="preserve">2023-01-31</t>
  </si>
  <si>
    <t xml:space="preserve">P10092</t>
  </si>
  <si>
    <t xml:space="preserve">2022-10-22</t>
  </si>
  <si>
    <t xml:space="preserve">2022-10-28</t>
  </si>
  <si>
    <t xml:space="preserve">P10093</t>
  </si>
  <si>
    <t xml:space="preserve">P10094</t>
  </si>
  <si>
    <t xml:space="preserve">2022-01-09</t>
  </si>
  <si>
    <t xml:space="preserve">2022-01-16</t>
  </si>
  <si>
    <t xml:space="preserve">P10095</t>
  </si>
  <si>
    <t xml:space="preserve">2023-10-14</t>
  </si>
  <si>
    <t xml:space="preserve">2023-10-17</t>
  </si>
  <si>
    <t xml:space="preserve">P10096</t>
  </si>
  <si>
    <t xml:space="preserve">2023-08-17</t>
  </si>
  <si>
    <t xml:space="preserve">2023-08-19</t>
  </si>
  <si>
    <t xml:space="preserve">P10097</t>
  </si>
  <si>
    <t xml:space="preserve">2023-01-10</t>
  </si>
  <si>
    <t xml:space="preserve">2023-01-11</t>
  </si>
  <si>
    <t xml:space="preserve">P10098</t>
  </si>
  <si>
    <t xml:space="preserve">2022-05-25</t>
  </si>
  <si>
    <t xml:space="preserve">2022-06-03</t>
  </si>
  <si>
    <t xml:space="preserve">P10099</t>
  </si>
  <si>
    <t xml:space="preserve">2023-07-04</t>
  </si>
  <si>
    <t xml:space="preserve">P10100</t>
  </si>
  <si>
    <t xml:space="preserve">2023-08-02</t>
  </si>
  <si>
    <t xml:space="preserve">P10101</t>
  </si>
  <si>
    <t xml:space="preserve">2022-02-08</t>
  </si>
  <si>
    <t xml:space="preserve">2022-02-13</t>
  </si>
  <si>
    <t xml:space="preserve">P10102</t>
  </si>
  <si>
    <t xml:space="preserve">2023-11-04</t>
  </si>
  <si>
    <t xml:space="preserve">P10103</t>
  </si>
  <si>
    <t xml:space="preserve">2022-08-30</t>
  </si>
  <si>
    <t xml:space="preserve">2022-09-03</t>
  </si>
  <si>
    <t xml:space="preserve">P10104</t>
  </si>
  <si>
    <t xml:space="preserve">2023-04-11</t>
  </si>
  <si>
    <t xml:space="preserve">2023-04-15</t>
  </si>
  <si>
    <t xml:space="preserve">P10105</t>
  </si>
  <si>
    <t xml:space="preserve">2022-07-30</t>
  </si>
  <si>
    <t xml:space="preserve">2022-08-05</t>
  </si>
  <si>
    <t xml:space="preserve">P10106</t>
  </si>
  <si>
    <t xml:space="preserve">2022-05-14</t>
  </si>
  <si>
    <t xml:space="preserve">2022-05-23</t>
  </si>
  <si>
    <t xml:space="preserve">P10107</t>
  </si>
  <si>
    <t xml:space="preserve">2022-11-28</t>
  </si>
  <si>
    <t xml:space="preserve">2022-12-04</t>
  </si>
  <si>
    <t xml:space="preserve">P10108</t>
  </si>
  <si>
    <t xml:space="preserve">2023-05-31</t>
  </si>
  <si>
    <t xml:space="preserve">2023-06-05</t>
  </si>
  <si>
    <t xml:space="preserve">P10109</t>
  </si>
  <si>
    <t xml:space="preserve">P10110</t>
  </si>
  <si>
    <t xml:space="preserve">2022-10-09</t>
  </si>
  <si>
    <t xml:space="preserve">P10111</t>
  </si>
  <si>
    <t xml:space="preserve">2023-12-20</t>
  </si>
  <si>
    <t xml:space="preserve">2023-12-30</t>
  </si>
  <si>
    <t xml:space="preserve">P10112</t>
  </si>
  <si>
    <t xml:space="preserve">2023-02-13</t>
  </si>
  <si>
    <t xml:space="preserve">2023-02-14</t>
  </si>
  <si>
    <t xml:space="preserve">P10113</t>
  </si>
  <si>
    <t xml:space="preserve">2022-04-04</t>
  </si>
  <si>
    <t xml:space="preserve">P10114</t>
  </si>
  <si>
    <t xml:space="preserve">Colorectal Cancer</t>
  </si>
  <si>
    <t xml:space="preserve">2022-05-06</t>
  </si>
  <si>
    <t xml:space="preserve">P10115</t>
  </si>
  <si>
    <t xml:space="preserve">2022-04-17</t>
  </si>
  <si>
    <t xml:space="preserve">2022-04-24</t>
  </si>
  <si>
    <t xml:space="preserve">P10116</t>
  </si>
  <si>
    <t xml:space="preserve">2023-08-06</t>
  </si>
  <si>
    <t xml:space="preserve">P10117</t>
  </si>
  <si>
    <t xml:space="preserve">2022-07-04</t>
  </si>
  <si>
    <t xml:space="preserve">2022-07-09</t>
  </si>
  <si>
    <t xml:space="preserve">P10118</t>
  </si>
  <si>
    <t xml:space="preserve">2023-06-28</t>
  </si>
  <si>
    <t xml:space="preserve">2023-07-02</t>
  </si>
  <si>
    <t xml:space="preserve">P10119</t>
  </si>
  <si>
    <t xml:space="preserve">2022-06-09</t>
  </si>
  <si>
    <t xml:space="preserve">2022-06-18</t>
  </si>
  <si>
    <t xml:space="preserve">P10120</t>
  </si>
  <si>
    <t xml:space="preserve">2022-04-27</t>
  </si>
  <si>
    <t xml:space="preserve">P10121</t>
  </si>
  <si>
    <t xml:space="preserve">2022-02-26</t>
  </si>
  <si>
    <t xml:space="preserve">2022-03-04</t>
  </si>
  <si>
    <t xml:space="preserve">P10122</t>
  </si>
  <si>
    <t xml:space="preserve">2022-05-16</t>
  </si>
  <si>
    <t xml:space="preserve">P10123</t>
  </si>
  <si>
    <t xml:space="preserve">2022-01-20</t>
  </si>
  <si>
    <t xml:space="preserve">2022-01-24</t>
  </si>
  <si>
    <t xml:space="preserve">P10124</t>
  </si>
  <si>
    <t xml:space="preserve">2022-06-25</t>
  </si>
  <si>
    <t xml:space="preserve">2022-06-28</t>
  </si>
  <si>
    <t xml:space="preserve">P10125</t>
  </si>
  <si>
    <t xml:space="preserve">2023-08-31</t>
  </si>
  <si>
    <t xml:space="preserve">P10126</t>
  </si>
  <si>
    <t xml:space="preserve">2023-06-07</t>
  </si>
  <si>
    <t xml:space="preserve">2023-06-10</t>
  </si>
  <si>
    <t xml:space="preserve">P10127</t>
  </si>
  <si>
    <t xml:space="preserve">2022-06-27</t>
  </si>
  <si>
    <t xml:space="preserve">P10128</t>
  </si>
  <si>
    <t xml:space="preserve">P10129</t>
  </si>
  <si>
    <t xml:space="preserve">2023-10-09</t>
  </si>
  <si>
    <t xml:space="preserve">2023-10-13</t>
  </si>
  <si>
    <t xml:space="preserve">P10130</t>
  </si>
  <si>
    <t xml:space="preserve">2023-10-29</t>
  </si>
  <si>
    <t xml:space="preserve">P10131</t>
  </si>
  <si>
    <t xml:space="preserve">2023-08-09</t>
  </si>
  <si>
    <t xml:space="preserve">P10132</t>
  </si>
  <si>
    <t xml:space="preserve">P10133</t>
  </si>
  <si>
    <t xml:space="preserve">2022-12-13</t>
  </si>
  <si>
    <t xml:space="preserve">2022-12-18</t>
  </si>
  <si>
    <t xml:space="preserve">P10134</t>
  </si>
  <si>
    <t xml:space="preserve">2022-04-02</t>
  </si>
  <si>
    <t xml:space="preserve">P10135</t>
  </si>
  <si>
    <t xml:space="preserve">2023-07-27</t>
  </si>
  <si>
    <t xml:space="preserve">2023-07-30</t>
  </si>
  <si>
    <t xml:space="preserve">P10136</t>
  </si>
  <si>
    <t xml:space="preserve">2023-01-12</t>
  </si>
  <si>
    <t xml:space="preserve">P10137</t>
  </si>
  <si>
    <t xml:space="preserve">2022-10-30</t>
  </si>
  <si>
    <t xml:space="preserve">2022-11-04</t>
  </si>
  <si>
    <t xml:space="preserve">P10138</t>
  </si>
  <si>
    <t xml:space="preserve">2022-06-16</t>
  </si>
  <si>
    <t xml:space="preserve">2022-06-17</t>
  </si>
  <si>
    <t xml:space="preserve">P10139</t>
  </si>
  <si>
    <t xml:space="preserve">2022-09-01</t>
  </si>
  <si>
    <t xml:space="preserve">2022-09-05</t>
  </si>
  <si>
    <t xml:space="preserve">P10140</t>
  </si>
  <si>
    <t xml:space="preserve">2023-08-08</t>
  </si>
  <si>
    <t xml:space="preserve">2023-08-10</t>
  </si>
  <si>
    <t xml:space="preserve">P10141</t>
  </si>
  <si>
    <t xml:space="preserve">2022-02-23</t>
  </si>
  <si>
    <t xml:space="preserve">2022-02-24</t>
  </si>
  <si>
    <t xml:space="preserve">P10142</t>
  </si>
  <si>
    <t xml:space="preserve">2023-06-15</t>
  </si>
  <si>
    <t xml:space="preserve">P10143</t>
  </si>
  <si>
    <t xml:space="preserve">2023-02-16</t>
  </si>
  <si>
    <t xml:space="preserve">P10144</t>
  </si>
  <si>
    <t xml:space="preserve">2023-10-28</t>
  </si>
  <si>
    <t xml:space="preserve">P10145</t>
  </si>
  <si>
    <t xml:space="preserve">2022-01-22</t>
  </si>
  <si>
    <t xml:space="preserve">P10146</t>
  </si>
  <si>
    <t xml:space="preserve">P10147</t>
  </si>
  <si>
    <t xml:space="preserve">P10148</t>
  </si>
  <si>
    <t xml:space="preserve">2023-06-23</t>
  </si>
  <si>
    <t xml:space="preserve">2023-07-01</t>
  </si>
  <si>
    <t xml:space="preserve">P10149</t>
  </si>
  <si>
    <t xml:space="preserve">2022-09-17</t>
  </si>
  <si>
    <t xml:space="preserve">2022-09-21</t>
  </si>
  <si>
    <t xml:space="preserve">P10150</t>
  </si>
  <si>
    <t xml:space="preserve">P10151</t>
  </si>
  <si>
    <t xml:space="preserve">2023-04-14</t>
  </si>
  <si>
    <t xml:space="preserve">2023-04-20</t>
  </si>
  <si>
    <t xml:space="preserve">P10152</t>
  </si>
  <si>
    <t xml:space="preserve">2023-10-25</t>
  </si>
  <si>
    <t xml:space="preserve">2023-10-26</t>
  </si>
  <si>
    <t xml:space="preserve">P10153</t>
  </si>
  <si>
    <t xml:space="preserve">2023-03-27</t>
  </si>
  <si>
    <t xml:space="preserve">P10154</t>
  </si>
  <si>
    <t xml:space="preserve">2023-03-11</t>
  </si>
  <si>
    <t xml:space="preserve">2023-03-22</t>
  </si>
  <si>
    <t xml:space="preserve">P10155</t>
  </si>
  <si>
    <t xml:space="preserve">2023-03-13</t>
  </si>
  <si>
    <t xml:space="preserve">P10156</t>
  </si>
  <si>
    <t xml:space="preserve">2023-11-19</t>
  </si>
  <si>
    <t xml:space="preserve">2023-11-23</t>
  </si>
  <si>
    <t xml:space="preserve">P10157</t>
  </si>
  <si>
    <t xml:space="preserve">P10158</t>
  </si>
  <si>
    <t xml:space="preserve">2023-08-11</t>
  </si>
  <si>
    <t xml:space="preserve">P10159</t>
  </si>
  <si>
    <t xml:space="preserve">P10160</t>
  </si>
  <si>
    <t xml:space="preserve">P10161</t>
  </si>
  <si>
    <t xml:space="preserve">2022-06-11</t>
  </si>
  <si>
    <t xml:space="preserve">P10162</t>
  </si>
  <si>
    <t xml:space="preserve">2023-01-05</t>
  </si>
  <si>
    <t xml:space="preserve">2023-01-06</t>
  </si>
  <si>
    <t xml:space="preserve">P10163</t>
  </si>
  <si>
    <t xml:space="preserve">2023-02-12</t>
  </si>
  <si>
    <t xml:space="preserve">P10164</t>
  </si>
  <si>
    <t xml:space="preserve">2023-04-23</t>
  </si>
  <si>
    <t xml:space="preserve">2023-04-24</t>
  </si>
  <si>
    <t xml:space="preserve">P10165</t>
  </si>
  <si>
    <t xml:space="preserve">P10166</t>
  </si>
  <si>
    <t xml:space="preserve">2023-07-19</t>
  </si>
  <si>
    <t xml:space="preserve">2023-07-24</t>
  </si>
  <si>
    <t xml:space="preserve">P10167</t>
  </si>
  <si>
    <t xml:space="preserve">2023-11-06</t>
  </si>
  <si>
    <t xml:space="preserve">2023-11-10</t>
  </si>
  <si>
    <t xml:space="preserve">P10168</t>
  </si>
  <si>
    <t xml:space="preserve">2022-08-04</t>
  </si>
  <si>
    <t xml:space="preserve">2022-08-07</t>
  </si>
  <si>
    <t xml:space="preserve">P10169</t>
  </si>
  <si>
    <t xml:space="preserve">2023-02-20</t>
  </si>
  <si>
    <t xml:space="preserve">P10170</t>
  </si>
  <si>
    <t xml:space="preserve">2022-11-23</t>
  </si>
  <si>
    <t xml:space="preserve">2022-11-27</t>
  </si>
  <si>
    <t xml:space="preserve">P10171</t>
  </si>
  <si>
    <t xml:space="preserve">P10172</t>
  </si>
  <si>
    <t xml:space="preserve">2022-06-13</t>
  </si>
  <si>
    <t xml:space="preserve">P10173</t>
  </si>
  <si>
    <t xml:space="preserve">2022-04-11</t>
  </si>
  <si>
    <t xml:space="preserve">P10174</t>
  </si>
  <si>
    <t xml:space="preserve">2023-09-04</t>
  </si>
  <si>
    <t xml:space="preserve">2023-09-08</t>
  </si>
  <si>
    <t xml:space="preserve">P10175</t>
  </si>
  <si>
    <t xml:space="preserve">2023-01-13</t>
  </si>
  <si>
    <t xml:space="preserve">P10176</t>
  </si>
  <si>
    <t xml:space="preserve">2022-10-14</t>
  </si>
  <si>
    <t xml:space="preserve">2022-10-16</t>
  </si>
  <si>
    <t xml:space="preserve">P10177</t>
  </si>
  <si>
    <t xml:space="preserve">P10178</t>
  </si>
  <si>
    <t xml:space="preserve">2023-09-13</t>
  </si>
  <si>
    <t xml:space="preserve">2023-09-20</t>
  </si>
  <si>
    <t xml:space="preserve">P10179</t>
  </si>
  <si>
    <t xml:space="preserve">2022-12-11</t>
  </si>
  <si>
    <t xml:space="preserve">P10180</t>
  </si>
  <si>
    <t xml:space="preserve">2023-08-21</t>
  </si>
  <si>
    <t xml:space="preserve">2023-08-24</t>
  </si>
  <si>
    <t xml:space="preserve">P10181</t>
  </si>
  <si>
    <t xml:space="preserve">2022-02-22</t>
  </si>
  <si>
    <t xml:space="preserve">2022-02-25</t>
  </si>
  <si>
    <t xml:space="preserve">P10182</t>
  </si>
  <si>
    <t xml:space="preserve">P10183</t>
  </si>
  <si>
    <t xml:space="preserve">2022-03-05</t>
  </si>
  <si>
    <t xml:space="preserve">P10184</t>
  </si>
  <si>
    <t xml:space="preserve">2022-12-29</t>
  </si>
  <si>
    <t xml:space="preserve">2022-12-31</t>
  </si>
  <si>
    <t xml:space="preserve">P10185</t>
  </si>
  <si>
    <t xml:space="preserve">2022-11-02</t>
  </si>
  <si>
    <t xml:space="preserve">P10186</t>
  </si>
  <si>
    <t xml:space="preserve">2022-05-05</t>
  </si>
  <si>
    <t xml:space="preserve">P10187</t>
  </si>
  <si>
    <t xml:space="preserve">2022-03-22</t>
  </si>
  <si>
    <t xml:space="preserve">2022-03-27</t>
  </si>
  <si>
    <t xml:space="preserve">P10188</t>
  </si>
  <si>
    <t xml:space="preserve">2022-04-22</t>
  </si>
  <si>
    <t xml:space="preserve">2022-04-28</t>
  </si>
  <si>
    <t xml:space="preserve">P10189</t>
  </si>
  <si>
    <t xml:space="preserve">2022-12-10</t>
  </si>
  <si>
    <t xml:space="preserve">P10190</t>
  </si>
  <si>
    <t xml:space="preserve">2022-11-26</t>
  </si>
  <si>
    <t xml:space="preserve">P10191</t>
  </si>
  <si>
    <t xml:space="preserve">2023-02-11</t>
  </si>
  <si>
    <t xml:space="preserve">P10192</t>
  </si>
  <si>
    <t xml:space="preserve">2022-10-24</t>
  </si>
  <si>
    <t xml:space="preserve">P10193</t>
  </si>
  <si>
    <t xml:space="preserve">2022-06-19</t>
  </si>
  <si>
    <t xml:space="preserve">P10194</t>
  </si>
  <si>
    <t xml:space="preserve">2023-06-20</t>
  </si>
  <si>
    <t xml:space="preserve">P10195</t>
  </si>
  <si>
    <t xml:space="preserve">2023-01-28</t>
  </si>
  <si>
    <t xml:space="preserve">P10196</t>
  </si>
  <si>
    <t xml:space="preserve">P10197</t>
  </si>
  <si>
    <t xml:space="preserve">2022-05-24</t>
  </si>
  <si>
    <t xml:space="preserve">P10198</t>
  </si>
  <si>
    <t xml:space="preserve">2023-11-28</t>
  </si>
  <si>
    <t xml:space="preserve">2023-11-30</t>
  </si>
  <si>
    <t xml:space="preserve">P10199</t>
  </si>
  <si>
    <t xml:space="preserve">2023-07-15</t>
  </si>
  <si>
    <t xml:space="preserve">P10200</t>
  </si>
  <si>
    <t xml:space="preserve">P10201</t>
  </si>
  <si>
    <t xml:space="preserve">2022-11-12</t>
  </si>
  <si>
    <t xml:space="preserve">2022-11-17</t>
  </si>
  <si>
    <t xml:space="preserve">P10202</t>
  </si>
  <si>
    <t xml:space="preserve">P10203</t>
  </si>
  <si>
    <t xml:space="preserve">P10204</t>
  </si>
  <si>
    <t xml:space="preserve">2022-12-23</t>
  </si>
  <si>
    <t xml:space="preserve">P10205</t>
  </si>
  <si>
    <t xml:space="preserve">2023-11-21</t>
  </si>
  <si>
    <t xml:space="preserve">2023-11-25</t>
  </si>
  <si>
    <t xml:space="preserve">P10206</t>
  </si>
  <si>
    <t xml:space="preserve">2023-11-08</t>
  </si>
  <si>
    <t xml:space="preserve">2023-11-14</t>
  </si>
  <si>
    <t xml:space="preserve">P10207</t>
  </si>
  <si>
    <t xml:space="preserve">2022-02-04</t>
  </si>
  <si>
    <t xml:space="preserve">2022-02-05</t>
  </si>
  <si>
    <t xml:space="preserve">P10208</t>
  </si>
  <si>
    <t xml:space="preserve">P10209</t>
  </si>
  <si>
    <t xml:space="preserve">2023-06-24</t>
  </si>
  <si>
    <t xml:space="preserve">P10210</t>
  </si>
  <si>
    <t xml:space="preserve">2023-10-22</t>
  </si>
  <si>
    <t xml:space="preserve">P10211</t>
  </si>
  <si>
    <t xml:space="preserve">P10212</t>
  </si>
  <si>
    <t xml:space="preserve">2022-09-06</t>
  </si>
  <si>
    <t xml:space="preserve">P10213</t>
  </si>
  <si>
    <t xml:space="preserve">2022-10-02</t>
  </si>
  <si>
    <t xml:space="preserve">2022-10-08</t>
  </si>
  <si>
    <t xml:space="preserve">P10214</t>
  </si>
  <si>
    <t xml:space="preserve">P10215</t>
  </si>
  <si>
    <t xml:space="preserve">P10216</t>
  </si>
  <si>
    <t xml:space="preserve">2023-04-26</t>
  </si>
  <si>
    <t xml:space="preserve">2023-04-27</t>
  </si>
  <si>
    <t xml:space="preserve">P10217</t>
  </si>
  <si>
    <t xml:space="preserve">2022-05-30</t>
  </si>
  <si>
    <t xml:space="preserve">P10218</t>
  </si>
  <si>
    <t xml:space="preserve">P10219</t>
  </si>
  <si>
    <t xml:space="preserve">P10220</t>
  </si>
  <si>
    <t xml:space="preserve">2023-02-27</t>
  </si>
  <si>
    <t xml:space="preserve">2023-03-02</t>
  </si>
  <si>
    <t xml:space="preserve">P10221</t>
  </si>
  <si>
    <t xml:space="preserve">2022-03-08</t>
  </si>
  <si>
    <t xml:space="preserve">P10222</t>
  </si>
  <si>
    <t xml:space="preserve">2022-10-25</t>
  </si>
  <si>
    <t xml:space="preserve">P10223</t>
  </si>
  <si>
    <t xml:space="preserve">2022-07-16</t>
  </si>
  <si>
    <t xml:space="preserve">2022-07-22</t>
  </si>
  <si>
    <t xml:space="preserve">P10224</t>
  </si>
  <si>
    <t xml:space="preserve">2023-12-02</t>
  </si>
  <si>
    <t xml:space="preserve">P10225</t>
  </si>
  <si>
    <t xml:space="preserve">2023-05-03</t>
  </si>
  <si>
    <t xml:space="preserve">2023-05-04</t>
  </si>
  <si>
    <t xml:space="preserve">P10226</t>
  </si>
  <si>
    <t xml:space="preserve">P10227</t>
  </si>
  <si>
    <t xml:space="preserve">2022-11-19</t>
  </si>
  <si>
    <t xml:space="preserve">P10228</t>
  </si>
  <si>
    <t xml:space="preserve">2023-02-06</t>
  </si>
  <si>
    <t xml:space="preserve">P10229</t>
  </si>
  <si>
    <t xml:space="preserve">2022-03-20</t>
  </si>
  <si>
    <t xml:space="preserve">P10230</t>
  </si>
  <si>
    <t xml:space="preserve">2023-05-26</t>
  </si>
  <si>
    <t xml:space="preserve">P10231</t>
  </si>
  <si>
    <t xml:space="preserve">2022-03-17</t>
  </si>
  <si>
    <t xml:space="preserve">P10232</t>
  </si>
  <si>
    <t xml:space="preserve">2023-04-01</t>
  </si>
  <si>
    <t xml:space="preserve">P10233</t>
  </si>
  <si>
    <t xml:space="preserve">2022-01-27</t>
  </si>
  <si>
    <t xml:space="preserve">P10234</t>
  </si>
  <si>
    <t xml:space="preserve">P10235</t>
  </si>
  <si>
    <t xml:space="preserve">2022-10-04</t>
  </si>
  <si>
    <t xml:space="preserve">P10236</t>
  </si>
  <si>
    <t xml:space="preserve">2023-09-24</t>
  </si>
  <si>
    <t xml:space="preserve">2023-09-28</t>
  </si>
  <si>
    <t xml:space="preserve">P10237</t>
  </si>
  <si>
    <t xml:space="preserve">2022-12-09</t>
  </si>
  <si>
    <t xml:space="preserve">P10238</t>
  </si>
  <si>
    <t xml:space="preserve">2022-10-26</t>
  </si>
  <si>
    <t xml:space="preserve">P10239</t>
  </si>
  <si>
    <t xml:space="preserve">2022-04-30</t>
  </si>
  <si>
    <t xml:space="preserve">P10240</t>
  </si>
  <si>
    <t xml:space="preserve">P10241</t>
  </si>
  <si>
    <t xml:space="preserve">2022-09-16</t>
  </si>
  <si>
    <t xml:space="preserve">P10242</t>
  </si>
  <si>
    <t xml:space="preserve">2022-02-07</t>
  </si>
  <si>
    <t xml:space="preserve">2022-02-18</t>
  </si>
  <si>
    <t xml:space="preserve">P10243</t>
  </si>
  <si>
    <t xml:space="preserve">P10244</t>
  </si>
  <si>
    <t xml:space="preserve">2022-08-16</t>
  </si>
  <si>
    <t xml:space="preserve">2022-08-17</t>
  </si>
  <si>
    <t xml:space="preserve">P10245</t>
  </si>
  <si>
    <t xml:space="preserve">2023-08-26</t>
  </si>
  <si>
    <t xml:space="preserve">P10246</t>
  </si>
  <si>
    <t xml:space="preserve">2022-05-26</t>
  </si>
  <si>
    <t xml:space="preserve">2022-05-27</t>
  </si>
  <si>
    <t xml:space="preserve">P10247</t>
  </si>
  <si>
    <t xml:space="preserve">2022-02-15</t>
  </si>
  <si>
    <t xml:space="preserve">2022-02-20</t>
  </si>
  <si>
    <t xml:space="preserve">P10248</t>
  </si>
  <si>
    <t xml:space="preserve">P10249</t>
  </si>
  <si>
    <t xml:space="preserve">2023-09-01</t>
  </si>
  <si>
    <t xml:space="preserve">P10250</t>
  </si>
  <si>
    <t xml:space="preserve">P10251</t>
  </si>
  <si>
    <t xml:space="preserve">2022-12-27</t>
  </si>
  <si>
    <t xml:space="preserve">P10252</t>
  </si>
  <si>
    <t xml:space="preserve">2022-11-09</t>
  </si>
  <si>
    <t xml:space="preserve">P10253</t>
  </si>
  <si>
    <t xml:space="preserve">2022-06-20</t>
  </si>
  <si>
    <t xml:space="preserve">2022-06-24</t>
  </si>
  <si>
    <t xml:space="preserve">P10254</t>
  </si>
  <si>
    <t xml:space="preserve">2022-07-19</t>
  </si>
  <si>
    <t xml:space="preserve">2022-07-26</t>
  </si>
  <si>
    <t xml:space="preserve">P10255</t>
  </si>
  <si>
    <t xml:space="preserve">P10256</t>
  </si>
  <si>
    <t xml:space="preserve">2023-06-08</t>
  </si>
  <si>
    <t xml:space="preserve">P10257</t>
  </si>
  <si>
    <t xml:space="preserve">P10258</t>
  </si>
  <si>
    <t xml:space="preserve">2022-08-31</t>
  </si>
  <si>
    <t xml:space="preserve">2022-09-04</t>
  </si>
  <si>
    <t xml:space="preserve">P10259</t>
  </si>
  <si>
    <t xml:space="preserve">2022-03-02</t>
  </si>
  <si>
    <t xml:space="preserve">P10260</t>
  </si>
  <si>
    <t xml:space="preserve">2023-02-26</t>
  </si>
  <si>
    <t xml:space="preserve">2023-03-08</t>
  </si>
  <si>
    <t xml:space="preserve">P10261</t>
  </si>
  <si>
    <t xml:space="preserve">2023-11-24</t>
  </si>
  <si>
    <t xml:space="preserve">2023-11-26</t>
  </si>
  <si>
    <t xml:space="preserve">P10262</t>
  </si>
  <si>
    <t xml:space="preserve">2023-01-18</t>
  </si>
  <si>
    <t xml:space="preserve">P10263</t>
  </si>
  <si>
    <t xml:space="preserve">2023-03-16</t>
  </si>
  <si>
    <t xml:space="preserve">2023-03-21</t>
  </si>
  <si>
    <t xml:space="preserve">P10264</t>
  </si>
  <si>
    <t xml:space="preserve">P10265</t>
  </si>
  <si>
    <t xml:space="preserve">P10266</t>
  </si>
  <si>
    <t xml:space="preserve">2023-10-27</t>
  </si>
  <si>
    <t xml:space="preserve">P10267</t>
  </si>
  <si>
    <t xml:space="preserve">2022-08-10</t>
  </si>
  <si>
    <t xml:space="preserve">P10268</t>
  </si>
  <si>
    <t xml:space="preserve">P10269</t>
  </si>
  <si>
    <t xml:space="preserve">2022-05-20</t>
  </si>
  <si>
    <t xml:space="preserve">P10270</t>
  </si>
  <si>
    <t xml:space="preserve">2022-06-05</t>
  </si>
  <si>
    <t xml:space="preserve">2022-06-08</t>
  </si>
  <si>
    <t xml:space="preserve">P10271</t>
  </si>
  <si>
    <t xml:space="preserve">2023-01-29</t>
  </si>
  <si>
    <t xml:space="preserve">P10272</t>
  </si>
  <si>
    <t xml:space="preserve">2023-06-22</t>
  </si>
  <si>
    <t xml:space="preserve">P10273</t>
  </si>
  <si>
    <t xml:space="preserve">2023-05-27</t>
  </si>
  <si>
    <t xml:space="preserve">2023-05-28</t>
  </si>
  <si>
    <t xml:space="preserve">P10274</t>
  </si>
  <si>
    <t xml:space="preserve">2023-07-14</t>
  </si>
  <si>
    <t xml:space="preserve">2023-07-22</t>
  </si>
  <si>
    <t xml:space="preserve">P10275</t>
  </si>
  <si>
    <t xml:space="preserve">2022-08-09</t>
  </si>
  <si>
    <t xml:space="preserve">P10276</t>
  </si>
  <si>
    <t xml:space="preserve">P10277</t>
  </si>
  <si>
    <t xml:space="preserve">2023-09-03</t>
  </si>
  <si>
    <t xml:space="preserve">P10278</t>
  </si>
  <si>
    <t xml:space="preserve">2022-09-14</t>
  </si>
  <si>
    <t xml:space="preserve">P10279</t>
  </si>
  <si>
    <t xml:space="preserve">2022-01-15</t>
  </si>
  <si>
    <t xml:space="preserve">P10280</t>
  </si>
  <si>
    <t xml:space="preserve">P10281</t>
  </si>
  <si>
    <t xml:space="preserve">P10282</t>
  </si>
  <si>
    <t xml:space="preserve">2022-01-13</t>
  </si>
  <si>
    <t xml:space="preserve">2022-01-17</t>
  </si>
  <si>
    <t xml:space="preserve">P10283</t>
  </si>
  <si>
    <t xml:space="preserve">2022-11-24</t>
  </si>
  <si>
    <t xml:space="preserve">2022-12-02</t>
  </si>
  <si>
    <t xml:space="preserve">P10284</t>
  </si>
  <si>
    <t xml:space="preserve">P10285</t>
  </si>
  <si>
    <t xml:space="preserve">2022-11-08</t>
  </si>
  <si>
    <t xml:space="preserve">2022-11-13</t>
  </si>
  <si>
    <t xml:space="preserve">P10286</t>
  </si>
  <si>
    <t xml:space="preserve">2023-03-03</t>
  </si>
  <si>
    <t xml:space="preserve">P10287</t>
  </si>
  <si>
    <t xml:space="preserve">P10288</t>
  </si>
  <si>
    <t xml:space="preserve">P10289</t>
  </si>
  <si>
    <t xml:space="preserve">2023-11-13</t>
  </si>
  <si>
    <t xml:space="preserve">P10290</t>
  </si>
  <si>
    <t xml:space="preserve">P10291</t>
  </si>
  <si>
    <t xml:space="preserve">2023-07-03</t>
  </si>
  <si>
    <t xml:space="preserve">2023-07-08</t>
  </si>
  <si>
    <t xml:space="preserve">P10292</t>
  </si>
  <si>
    <t xml:space="preserve">P10293</t>
  </si>
  <si>
    <t xml:space="preserve">2022-11-03</t>
  </si>
  <si>
    <t xml:space="preserve">P10294</t>
  </si>
  <si>
    <t xml:space="preserve">P10295</t>
  </si>
  <si>
    <t xml:space="preserve">P10296</t>
  </si>
  <si>
    <t xml:space="preserve">2022-04-05</t>
  </si>
  <si>
    <t xml:space="preserve">P10297</t>
  </si>
  <si>
    <t xml:space="preserve">2023-12-03</t>
  </si>
  <si>
    <t xml:space="preserve">P10298</t>
  </si>
  <si>
    <t xml:space="preserve">2023-09-27</t>
  </si>
  <si>
    <t xml:space="preserve">P10299</t>
  </si>
  <si>
    <t xml:space="preserve">P10300</t>
  </si>
  <si>
    <t xml:space="preserve">P10301</t>
  </si>
  <si>
    <t xml:space="preserve">P10302</t>
  </si>
  <si>
    <t xml:space="preserve">2023-07-06</t>
  </si>
  <si>
    <t xml:space="preserve">P10303</t>
  </si>
  <si>
    <t xml:space="preserve">2022-11-22</t>
  </si>
  <si>
    <t xml:space="preserve">P10304</t>
  </si>
  <si>
    <t xml:space="preserve">2022-07-21</t>
  </si>
  <si>
    <t xml:space="preserve">P10305</t>
  </si>
  <si>
    <t xml:space="preserve">2022-02-27</t>
  </si>
  <si>
    <t xml:space="preserve">P10306</t>
  </si>
  <si>
    <t xml:space="preserve">2022-03-06</t>
  </si>
  <si>
    <t xml:space="preserve">P10307</t>
  </si>
  <si>
    <t xml:space="preserve">2022-04-14</t>
  </si>
  <si>
    <t xml:space="preserve">P10308</t>
  </si>
  <si>
    <t xml:space="preserve">2023-11-16</t>
  </si>
  <si>
    <t xml:space="preserve">P10309</t>
  </si>
  <si>
    <t xml:space="preserve">P10310</t>
  </si>
  <si>
    <t xml:space="preserve">2022-03-26</t>
  </si>
  <si>
    <t xml:space="preserve">P10311</t>
  </si>
  <si>
    <t xml:space="preserve">2023-12-11</t>
  </si>
  <si>
    <t xml:space="preserve">2023-12-16</t>
  </si>
  <si>
    <t xml:space="preserve">P10312</t>
  </si>
  <si>
    <t xml:space="preserve">2023-02-28</t>
  </si>
  <si>
    <t xml:space="preserve">2023-03-01</t>
  </si>
  <si>
    <t xml:space="preserve">P10313</t>
  </si>
  <si>
    <t xml:space="preserve">2022-01-21</t>
  </si>
  <si>
    <t xml:space="preserve">P10314</t>
  </si>
  <si>
    <t xml:space="preserve">2022-04-07</t>
  </si>
  <si>
    <t xml:space="preserve">P10315</t>
  </si>
  <si>
    <t xml:space="preserve">2022-08-01</t>
  </si>
  <si>
    <t xml:space="preserve">P10316</t>
  </si>
  <si>
    <t xml:space="preserve">P10317</t>
  </si>
  <si>
    <t xml:space="preserve">2022-01-28</t>
  </si>
  <si>
    <t xml:space="preserve">P10318</t>
  </si>
  <si>
    <t xml:space="preserve">P10319</t>
  </si>
  <si>
    <t xml:space="preserve">2022-09-27</t>
  </si>
  <si>
    <t xml:space="preserve">2022-09-29</t>
  </si>
  <si>
    <t xml:space="preserve">P10320</t>
  </si>
  <si>
    <t xml:space="preserve">2022-08-27</t>
  </si>
  <si>
    <t xml:space="preserve">P10321</t>
  </si>
  <si>
    <t xml:space="preserve">P10322</t>
  </si>
  <si>
    <t xml:space="preserve">2022-07-17</t>
  </si>
  <si>
    <t xml:space="preserve">P10323</t>
  </si>
  <si>
    <t xml:space="preserve">2022-03-10</t>
  </si>
  <si>
    <t xml:space="preserve">P10324</t>
  </si>
  <si>
    <t xml:space="preserve">2023-03-07</t>
  </si>
  <si>
    <t xml:space="preserve">P10325</t>
  </si>
  <si>
    <t xml:space="preserve">2022-09-28</t>
  </si>
  <si>
    <t xml:space="preserve">2022-10-05</t>
  </si>
  <si>
    <t xml:space="preserve">P10326</t>
  </si>
  <si>
    <t xml:space="preserve">2023-09-16</t>
  </si>
  <si>
    <t xml:space="preserve">2023-09-17</t>
  </si>
  <si>
    <t xml:space="preserve">P10327</t>
  </si>
  <si>
    <t xml:space="preserve">2022-11-07</t>
  </si>
  <si>
    <t xml:space="preserve">2022-11-10</t>
  </si>
  <si>
    <t xml:space="preserve">P10328</t>
  </si>
  <si>
    <t xml:space="preserve">P10329</t>
  </si>
  <si>
    <t xml:space="preserve">2022-06-12</t>
  </si>
  <si>
    <t xml:space="preserve">P10330</t>
  </si>
  <si>
    <t xml:space="preserve">2022-09-13</t>
  </si>
  <si>
    <t xml:space="preserve">2022-09-18</t>
  </si>
  <si>
    <t xml:space="preserve">P10331</t>
  </si>
  <si>
    <t xml:space="preserve">2023-01-17</t>
  </si>
  <si>
    <t xml:space="preserve">2023-01-24</t>
  </si>
  <si>
    <t xml:space="preserve">P10332</t>
  </si>
  <si>
    <t xml:space="preserve">P10333</t>
  </si>
  <si>
    <t xml:space="preserve">2023-10-30</t>
  </si>
  <si>
    <t xml:space="preserve">P10334</t>
  </si>
  <si>
    <t xml:space="preserve">2023-09-15</t>
  </si>
  <si>
    <t xml:space="preserve">2023-09-19</t>
  </si>
  <si>
    <t xml:space="preserve">P10335</t>
  </si>
  <si>
    <t xml:space="preserve">2022-08-12</t>
  </si>
  <si>
    <t xml:space="preserve">P10336</t>
  </si>
  <si>
    <t xml:space="preserve">P10337</t>
  </si>
  <si>
    <t xml:space="preserve">P10338</t>
  </si>
  <si>
    <t xml:space="preserve">2023-05-25</t>
  </si>
  <si>
    <t xml:space="preserve">2023-06-01</t>
  </si>
  <si>
    <t xml:space="preserve">P10339</t>
  </si>
  <si>
    <t xml:space="preserve">2023-01-08</t>
  </si>
  <si>
    <t xml:space="preserve">P10340</t>
  </si>
  <si>
    <t xml:space="preserve">2022-09-22</t>
  </si>
  <si>
    <t xml:space="preserve">P10341</t>
  </si>
  <si>
    <t xml:space="preserve">P10342</t>
  </si>
  <si>
    <t xml:space="preserve">2022-07-20</t>
  </si>
  <si>
    <t xml:space="preserve">P10343</t>
  </si>
  <si>
    <t xml:space="preserve">P10344</t>
  </si>
  <si>
    <t xml:space="preserve">2023-10-12</t>
  </si>
  <si>
    <t xml:space="preserve">2023-10-18</t>
  </si>
  <si>
    <t xml:space="preserve">P10345</t>
  </si>
  <si>
    <t xml:space="preserve">P10346</t>
  </si>
  <si>
    <t xml:space="preserve">2022-07-15</t>
  </si>
  <si>
    <t xml:space="preserve">P10347</t>
  </si>
  <si>
    <t xml:space="preserve">P10348</t>
  </si>
  <si>
    <t xml:space="preserve">2023-05-17</t>
  </si>
  <si>
    <t xml:space="preserve">2023-05-22</t>
  </si>
  <si>
    <t xml:space="preserve">P10349</t>
  </si>
  <si>
    <t xml:space="preserve">2022-01-23</t>
  </si>
  <si>
    <t xml:space="preserve">2022-01-26</t>
  </si>
  <si>
    <t xml:space="preserve">P10350</t>
  </si>
  <si>
    <t xml:space="preserve">2022-01-25</t>
  </si>
  <si>
    <t xml:space="preserve">P10351</t>
  </si>
  <si>
    <t xml:space="preserve">2023-12-13</t>
  </si>
  <si>
    <t xml:space="preserve">2023-12-17</t>
  </si>
  <si>
    <t xml:space="preserve">P10352</t>
  </si>
  <si>
    <t xml:space="preserve">P10353</t>
  </si>
  <si>
    <t xml:space="preserve">2022-06-14</t>
  </si>
  <si>
    <t xml:space="preserve">2022-06-21</t>
  </si>
  <si>
    <t xml:space="preserve">P10354</t>
  </si>
  <si>
    <t xml:space="preserve">P10355</t>
  </si>
  <si>
    <t xml:space="preserve">2022-02-28</t>
  </si>
  <si>
    <t xml:space="preserve">P10356</t>
  </si>
  <si>
    <t xml:space="preserve">2022-05-22</t>
  </si>
  <si>
    <t xml:space="preserve">P10357</t>
  </si>
  <si>
    <t xml:space="preserve">2022-04-29</t>
  </si>
  <si>
    <t xml:space="preserve">P10358</t>
  </si>
  <si>
    <t xml:space="preserve">P10359</t>
  </si>
  <si>
    <t xml:space="preserve">P10360</t>
  </si>
  <si>
    <t xml:space="preserve">2022-09-26</t>
  </si>
  <si>
    <t xml:space="preserve">P10361</t>
  </si>
  <si>
    <t xml:space="preserve">2023-11-09</t>
  </si>
  <si>
    <t xml:space="preserve">2023-11-17</t>
  </si>
  <si>
    <t xml:space="preserve">P10362</t>
  </si>
  <si>
    <t xml:space="preserve">2023-05-01</t>
  </si>
  <si>
    <t xml:space="preserve">P10363</t>
  </si>
  <si>
    <t xml:space="preserve">2023-06-11</t>
  </si>
  <si>
    <t xml:space="preserve">P10364</t>
  </si>
  <si>
    <t xml:space="preserve">2023-05-29</t>
  </si>
  <si>
    <t xml:space="preserve">P10365</t>
  </si>
  <si>
    <t xml:space="preserve">P10366</t>
  </si>
  <si>
    <t xml:space="preserve">P10367</t>
  </si>
  <si>
    <t xml:space="preserve">2023-06-19</t>
  </si>
  <si>
    <t xml:space="preserve">2023-06-25</t>
  </si>
  <si>
    <t xml:space="preserve">P10368</t>
  </si>
  <si>
    <t xml:space="preserve">2022-07-27</t>
  </si>
  <si>
    <t xml:space="preserve">P10369</t>
  </si>
  <si>
    <t xml:space="preserve">P10370</t>
  </si>
  <si>
    <t xml:space="preserve">2023-03-20</t>
  </si>
  <si>
    <t xml:space="preserve">P10371</t>
  </si>
  <si>
    <t xml:space="preserve">2023-01-30</t>
  </si>
  <si>
    <t xml:space="preserve">P10372</t>
  </si>
  <si>
    <t xml:space="preserve">P10373</t>
  </si>
  <si>
    <t xml:space="preserve">2022-08-03</t>
  </si>
  <si>
    <t xml:space="preserve">2022-08-08</t>
  </si>
  <si>
    <t xml:space="preserve">P10374</t>
  </si>
  <si>
    <t xml:space="preserve">P10375</t>
  </si>
  <si>
    <t xml:space="preserve">P10376</t>
  </si>
  <si>
    <t xml:space="preserve">P10377</t>
  </si>
  <si>
    <t xml:space="preserve">2023-12-14</t>
  </si>
  <si>
    <t xml:space="preserve">P10378</t>
  </si>
  <si>
    <t xml:space="preserve">2022-09-15</t>
  </si>
  <si>
    <t xml:space="preserve">2022-09-24</t>
  </si>
  <si>
    <t xml:space="preserve">P10379</t>
  </si>
  <si>
    <t xml:space="preserve">P10380</t>
  </si>
  <si>
    <t xml:space="preserve">2022-10-01</t>
  </si>
  <si>
    <t xml:space="preserve">P10381</t>
  </si>
  <si>
    <t xml:space="preserve">2023-09-23</t>
  </si>
  <si>
    <t xml:space="preserve">2023-10-01</t>
  </si>
  <si>
    <t xml:space="preserve">P10382</t>
  </si>
  <si>
    <t xml:space="preserve">2022-08-14</t>
  </si>
  <si>
    <t xml:space="preserve">2022-08-22</t>
  </si>
  <si>
    <t xml:space="preserve">P10383</t>
  </si>
  <si>
    <t xml:space="preserve">P10384</t>
  </si>
  <si>
    <t xml:space="preserve">P10385</t>
  </si>
  <si>
    <t xml:space="preserve">2022-09-20</t>
  </si>
  <si>
    <t xml:space="preserve">P10386</t>
  </si>
  <si>
    <t xml:space="preserve">P10387</t>
  </si>
  <si>
    <t xml:space="preserve">P10388</t>
  </si>
  <si>
    <t xml:space="preserve">P10389</t>
  </si>
  <si>
    <t xml:space="preserve">2023-02-02</t>
  </si>
  <si>
    <t xml:space="preserve">2023-02-04</t>
  </si>
  <si>
    <t xml:space="preserve">P10390</t>
  </si>
  <si>
    <t xml:space="preserve">2023-06-03</t>
  </si>
  <si>
    <t xml:space="preserve">P10391</t>
  </si>
  <si>
    <t xml:space="preserve">P10392</t>
  </si>
  <si>
    <t xml:space="preserve">P10393</t>
  </si>
  <si>
    <t xml:space="preserve">P10394</t>
  </si>
  <si>
    <t xml:space="preserve">2023-04-18</t>
  </si>
  <si>
    <t xml:space="preserve">P10395</t>
  </si>
  <si>
    <t xml:space="preserve">2023-01-01</t>
  </si>
  <si>
    <t xml:space="preserve">P10396</t>
  </si>
  <si>
    <t xml:space="preserve">2023-08-22</t>
  </si>
  <si>
    <t xml:space="preserve">2023-08-25</t>
  </si>
  <si>
    <t xml:space="preserve">P10397</t>
  </si>
  <si>
    <t xml:space="preserve">2023-12-31</t>
  </si>
  <si>
    <t xml:space="preserve">2024-01-06</t>
  </si>
  <si>
    <t xml:space="preserve">P10398</t>
  </si>
  <si>
    <t xml:space="preserve">P10399</t>
  </si>
  <si>
    <t xml:space="preserve">P10400</t>
  </si>
  <si>
    <t xml:space="preserve">P10401</t>
  </si>
  <si>
    <t xml:space="preserve">2023-01-09</t>
  </si>
  <si>
    <t xml:space="preserve">P10402</t>
  </si>
  <si>
    <t xml:space="preserve">2023-08-03</t>
  </si>
  <si>
    <t xml:space="preserve">P10403</t>
  </si>
  <si>
    <t xml:space="preserve">P10404</t>
  </si>
  <si>
    <t xml:space="preserve">P10405</t>
  </si>
  <si>
    <t xml:space="preserve">2023-11-07</t>
  </si>
  <si>
    <t xml:space="preserve">P10406</t>
  </si>
  <si>
    <t xml:space="preserve">2023-09-11</t>
  </si>
  <si>
    <t xml:space="preserve">P10407</t>
  </si>
  <si>
    <t xml:space="preserve">P10408</t>
  </si>
  <si>
    <t xml:space="preserve">P10409</t>
  </si>
  <si>
    <t xml:space="preserve">2023-10-07</t>
  </si>
  <si>
    <t xml:space="preserve">2023-10-10</t>
  </si>
  <si>
    <t xml:space="preserve">P10410</t>
  </si>
  <si>
    <t xml:space="preserve">P10411</t>
  </si>
  <si>
    <t xml:space="preserve">2022-06-01</t>
  </si>
  <si>
    <t xml:space="preserve">P10412</t>
  </si>
  <si>
    <t xml:space="preserve">2023-01-23</t>
  </si>
  <si>
    <t xml:space="preserve">P10413</t>
  </si>
  <si>
    <t xml:space="preserve">P10414</t>
  </si>
  <si>
    <t xml:space="preserve">P10415</t>
  </si>
  <si>
    <t xml:space="preserve">P10416</t>
  </si>
  <si>
    <t xml:space="preserve">2023-07-11</t>
  </si>
  <si>
    <t xml:space="preserve">P10417</t>
  </si>
  <si>
    <t xml:space="preserve">2022-08-02</t>
  </si>
  <si>
    <t xml:space="preserve">P10418</t>
  </si>
  <si>
    <t xml:space="preserve">P10419</t>
  </si>
  <si>
    <t xml:space="preserve">P10420</t>
  </si>
  <si>
    <t xml:space="preserve">2022-08-15</t>
  </si>
  <si>
    <t xml:space="preserve">P10421</t>
  </si>
  <si>
    <t xml:space="preserve">P10422</t>
  </si>
  <si>
    <t xml:space="preserve">P10423</t>
  </si>
  <si>
    <t xml:space="preserve">P10424</t>
  </si>
  <si>
    <t xml:space="preserve">P10425</t>
  </si>
  <si>
    <t xml:space="preserve">P10426</t>
  </si>
  <si>
    <t xml:space="preserve">2023-08-12</t>
  </si>
  <si>
    <t xml:space="preserve">P10427</t>
  </si>
  <si>
    <t xml:space="preserve">2023-03-30</t>
  </si>
  <si>
    <t xml:space="preserve">2023-04-04</t>
  </si>
  <si>
    <t xml:space="preserve">P10428</t>
  </si>
  <si>
    <t xml:space="preserve">P10429</t>
  </si>
  <si>
    <t xml:space="preserve">P10430</t>
  </si>
  <si>
    <t xml:space="preserve">2023-01-02</t>
  </si>
  <si>
    <t xml:space="preserve">P10431</t>
  </si>
  <si>
    <t xml:space="preserve">P10432</t>
  </si>
  <si>
    <t xml:space="preserve">2023-11-11</t>
  </si>
  <si>
    <t xml:space="preserve">P10433</t>
  </si>
  <si>
    <t xml:space="preserve">2022-07-07</t>
  </si>
  <si>
    <t xml:space="preserve">2022-07-14</t>
  </si>
  <si>
    <t xml:space="preserve">P10434</t>
  </si>
  <si>
    <t xml:space="preserve">2023-07-17</t>
  </si>
  <si>
    <t xml:space="preserve">P10435</t>
  </si>
  <si>
    <t xml:space="preserve">2023-11-22</t>
  </si>
  <si>
    <t xml:space="preserve">P10436</t>
  </si>
  <si>
    <t xml:space="preserve">2023-04-28</t>
  </si>
  <si>
    <t xml:space="preserve">2023-05-05</t>
  </si>
  <si>
    <t xml:space="preserve">P10437</t>
  </si>
  <si>
    <t xml:space="preserve">P10438</t>
  </si>
  <si>
    <t xml:space="preserve">P10439</t>
  </si>
  <si>
    <t xml:space="preserve">P10440</t>
  </si>
  <si>
    <t xml:space="preserve">P10441</t>
  </si>
  <si>
    <t xml:space="preserve">2023-11-27</t>
  </si>
  <si>
    <t xml:space="preserve">P10442</t>
  </si>
  <si>
    <t xml:space="preserve">P10443</t>
  </si>
  <si>
    <t xml:space="preserve">P10444</t>
  </si>
  <si>
    <t xml:space="preserve">2023-04-07</t>
  </si>
  <si>
    <t xml:space="preserve">P10445</t>
  </si>
  <si>
    <t xml:space="preserve">P10446</t>
  </si>
  <si>
    <t xml:space="preserve">2023-07-16</t>
  </si>
  <si>
    <t xml:space="preserve">2023-07-23</t>
  </si>
  <si>
    <t xml:space="preserve">P10447</t>
  </si>
  <si>
    <t xml:space="preserve">2022-10-18</t>
  </si>
  <si>
    <t xml:space="preserve">2022-10-23</t>
  </si>
  <si>
    <t xml:space="preserve">P10448</t>
  </si>
  <si>
    <t xml:space="preserve">P10449</t>
  </si>
  <si>
    <t xml:space="preserve">P10450</t>
  </si>
  <si>
    <t xml:space="preserve">2023-03-29</t>
  </si>
  <si>
    <t xml:space="preserve">2023-03-31</t>
  </si>
  <si>
    <t xml:space="preserve">P10451</t>
  </si>
  <si>
    <t xml:space="preserve">2023-05-20</t>
  </si>
  <si>
    <t xml:space="preserve">P10452</t>
  </si>
  <si>
    <t xml:space="preserve">P10453</t>
  </si>
  <si>
    <t xml:space="preserve">P10454</t>
  </si>
  <si>
    <t xml:space="preserve">2022-03-18</t>
  </si>
  <si>
    <t xml:space="preserve">P10455</t>
  </si>
  <si>
    <t xml:space="preserve">P10456</t>
  </si>
  <si>
    <t xml:space="preserve">P10457</t>
  </si>
  <si>
    <t xml:space="preserve">2022-09-30</t>
  </si>
  <si>
    <t xml:space="preserve">P10458</t>
  </si>
  <si>
    <t xml:space="preserve">P10459</t>
  </si>
  <si>
    <t xml:space="preserve">P10460</t>
  </si>
  <si>
    <t xml:space="preserve">P10461</t>
  </si>
  <si>
    <t xml:space="preserve">P10462</t>
  </si>
  <si>
    <t xml:space="preserve">P10463</t>
  </si>
  <si>
    <t xml:space="preserve">P10464</t>
  </si>
  <si>
    <t xml:space="preserve">2022-05-18</t>
  </si>
  <si>
    <t xml:space="preserve">P10465</t>
  </si>
  <si>
    <t xml:space="preserve">2023-04-25</t>
  </si>
  <si>
    <t xml:space="preserve">P10466</t>
  </si>
  <si>
    <t xml:space="preserve">P10467</t>
  </si>
  <si>
    <t xml:space="preserve">2022-03-09</t>
  </si>
  <si>
    <t xml:space="preserve">P10468</t>
  </si>
  <si>
    <t xml:space="preserve">P10469</t>
  </si>
  <si>
    <t xml:space="preserve">P10470</t>
  </si>
  <si>
    <t xml:space="preserve">P10471</t>
  </si>
  <si>
    <t xml:space="preserve">2023-12-27</t>
  </si>
  <si>
    <t xml:space="preserve">2024-01-03</t>
  </si>
  <si>
    <t xml:space="preserve">P10472</t>
  </si>
  <si>
    <t xml:space="preserve">2022-08-25</t>
  </si>
  <si>
    <t xml:space="preserve">P10473</t>
  </si>
  <si>
    <t xml:space="preserve">P10474</t>
  </si>
  <si>
    <t xml:space="preserve">2023-09-07</t>
  </si>
  <si>
    <t xml:space="preserve">2023-09-10</t>
  </si>
  <si>
    <t xml:space="preserve">P10475</t>
  </si>
  <si>
    <t xml:space="preserve">P10476</t>
  </si>
  <si>
    <t xml:space="preserve">P10477</t>
  </si>
  <si>
    <t xml:space="preserve">P10478</t>
  </si>
  <si>
    <t xml:space="preserve">P10479</t>
  </si>
  <si>
    <t xml:space="preserve">P10480</t>
  </si>
  <si>
    <t xml:space="preserve">P10481</t>
  </si>
  <si>
    <t xml:space="preserve">P10482</t>
  </si>
  <si>
    <t xml:space="preserve">2023-09-02</t>
  </si>
  <si>
    <t xml:space="preserve">2023-09-06</t>
  </si>
  <si>
    <t xml:space="preserve">P10483</t>
  </si>
  <si>
    <t xml:space="preserve">P10484</t>
  </si>
  <si>
    <t xml:space="preserve">2023-02-09</t>
  </si>
  <si>
    <t xml:space="preserve">2023-02-15</t>
  </si>
  <si>
    <t xml:space="preserve">P10485</t>
  </si>
  <si>
    <t xml:space="preserve">P10486</t>
  </si>
  <si>
    <t xml:space="preserve">P10487</t>
  </si>
  <si>
    <t xml:space="preserve">P10488</t>
  </si>
  <si>
    <t xml:space="preserve">P10489</t>
  </si>
  <si>
    <t xml:space="preserve">2023-12-22</t>
  </si>
  <si>
    <t xml:space="preserve">P10490</t>
  </si>
  <si>
    <t xml:space="preserve">2022-07-25</t>
  </si>
  <si>
    <t xml:space="preserve">P10491</t>
  </si>
  <si>
    <t xml:space="preserve">P10492</t>
  </si>
  <si>
    <t xml:space="preserve">2022-07-28</t>
  </si>
  <si>
    <t xml:space="preserve">P10493</t>
  </si>
  <si>
    <t xml:space="preserve">2022-06-10</t>
  </si>
  <si>
    <t xml:space="preserve">P10494</t>
  </si>
  <si>
    <t xml:space="preserve">P10495</t>
  </si>
  <si>
    <t xml:space="preserve">2022-05-21</t>
  </si>
  <si>
    <t xml:space="preserve">P10496</t>
  </si>
  <si>
    <t xml:space="preserve">P10497</t>
  </si>
  <si>
    <t xml:space="preserve">P10498</t>
  </si>
  <si>
    <t xml:space="preserve">P10499</t>
  </si>
  <si>
    <t xml:space="preserve">2023-10-15</t>
  </si>
  <si>
    <t xml:space="preserve">P10500</t>
  </si>
  <si>
    <t xml:space="preserve">2022-01-31</t>
  </si>
  <si>
    <t xml:space="preserve">P10501</t>
  </si>
  <si>
    <t xml:space="preserve">P10502</t>
  </si>
  <si>
    <t xml:space="preserve">2022-03-13</t>
  </si>
  <si>
    <t xml:space="preserve">P10503</t>
  </si>
  <si>
    <t xml:space="preserve">2022-02-12</t>
  </si>
  <si>
    <t xml:space="preserve">P10504</t>
  </si>
  <si>
    <t xml:space="preserve">P10505</t>
  </si>
  <si>
    <t xml:space="preserve">2022-10-27</t>
  </si>
  <si>
    <t xml:space="preserve">P10506</t>
  </si>
  <si>
    <t xml:space="preserve">2023-04-13</t>
  </si>
  <si>
    <t xml:space="preserve">P10507</t>
  </si>
  <si>
    <t xml:space="preserve">P10508</t>
  </si>
  <si>
    <t xml:space="preserve">2022-05-04</t>
  </si>
  <si>
    <t xml:space="preserve">P10509</t>
  </si>
  <si>
    <t xml:space="preserve">P10510</t>
  </si>
  <si>
    <t xml:space="preserve">2023-04-10</t>
  </si>
  <si>
    <t xml:space="preserve">P10511</t>
  </si>
  <si>
    <t xml:space="preserve">P10512</t>
  </si>
  <si>
    <t xml:space="preserve">P10513</t>
  </si>
  <si>
    <t xml:space="preserve">2023-10-31</t>
  </si>
  <si>
    <t xml:space="preserve">P10514</t>
  </si>
  <si>
    <t xml:space="preserve">2022-06-15</t>
  </si>
  <si>
    <t xml:space="preserve">P10515</t>
  </si>
  <si>
    <t xml:space="preserve">P10516</t>
  </si>
  <si>
    <t xml:space="preserve">P10517</t>
  </si>
  <si>
    <t xml:space="preserve">P10518</t>
  </si>
  <si>
    <t xml:space="preserve">2023-08-15</t>
  </si>
  <si>
    <t xml:space="preserve">P10519</t>
  </si>
  <si>
    <t xml:space="preserve">2022-07-11</t>
  </si>
  <si>
    <t xml:space="preserve">P10520</t>
  </si>
  <si>
    <t xml:space="preserve">2022-02-16</t>
  </si>
  <si>
    <t xml:space="preserve">P10521</t>
  </si>
  <si>
    <t xml:space="preserve">P10522</t>
  </si>
  <si>
    <t xml:space="preserve">2023-11-20</t>
  </si>
  <si>
    <t xml:space="preserve">P10523</t>
  </si>
  <si>
    <t xml:space="preserve">P10524</t>
  </si>
  <si>
    <t xml:space="preserve">P10525</t>
  </si>
  <si>
    <t xml:space="preserve">2023-01-20</t>
  </si>
  <si>
    <t xml:space="preserve">P10526</t>
  </si>
  <si>
    <t xml:space="preserve">2023-05-24</t>
  </si>
  <si>
    <t xml:space="preserve">P10527</t>
  </si>
  <si>
    <t xml:space="preserve">2023-01-19</t>
  </si>
  <si>
    <t xml:space="preserve">P10528</t>
  </si>
  <si>
    <t xml:space="preserve">2023-06-21</t>
  </si>
  <si>
    <t xml:space="preserve">P10529</t>
  </si>
  <si>
    <t xml:space="preserve">2023-02-01</t>
  </si>
  <si>
    <t xml:space="preserve">P10530</t>
  </si>
  <si>
    <t xml:space="preserve">P10531</t>
  </si>
  <si>
    <t xml:space="preserve">2023-06-30</t>
  </si>
  <si>
    <t xml:space="preserve">P10532</t>
  </si>
  <si>
    <t xml:space="preserve">2022-12-01</t>
  </si>
  <si>
    <t xml:space="preserve">P10533</t>
  </si>
  <si>
    <t xml:space="preserve">2023-04-06</t>
  </si>
  <si>
    <t xml:space="preserve">P10534</t>
  </si>
  <si>
    <t xml:space="preserve">P10535</t>
  </si>
  <si>
    <t xml:space="preserve">2023-12-23</t>
  </si>
  <si>
    <t xml:space="preserve">P10536</t>
  </si>
  <si>
    <t xml:space="preserve">P10537</t>
  </si>
  <si>
    <t xml:space="preserve">2022-04-26</t>
  </si>
  <si>
    <t xml:space="preserve">P10538</t>
  </si>
  <si>
    <t xml:space="preserve">P10539</t>
  </si>
  <si>
    <t xml:space="preserve">2022-06-22</t>
  </si>
  <si>
    <t xml:space="preserve">P10540</t>
  </si>
  <si>
    <t xml:space="preserve">P10541</t>
  </si>
  <si>
    <t xml:space="preserve">P10542</t>
  </si>
  <si>
    <t xml:space="preserve">2022-08-11</t>
  </si>
  <si>
    <t xml:space="preserve">P10543</t>
  </si>
  <si>
    <t xml:space="preserve">P10544</t>
  </si>
  <si>
    <t xml:space="preserve">2023-06-14</t>
  </si>
  <si>
    <t xml:space="preserve">P10545</t>
  </si>
  <si>
    <t xml:space="preserve">P10546</t>
  </si>
  <si>
    <t xml:space="preserve">P10547</t>
  </si>
  <si>
    <t xml:space="preserve">2022-01-18</t>
  </si>
  <si>
    <t xml:space="preserve">P10548</t>
  </si>
  <si>
    <t xml:space="preserve">P10549</t>
  </si>
  <si>
    <t xml:space="preserve">2022-08-20</t>
  </si>
  <si>
    <t xml:space="preserve">2022-08-24</t>
  </si>
  <si>
    <t xml:space="preserve">P10550</t>
  </si>
  <si>
    <t xml:space="preserve">P10551</t>
  </si>
  <si>
    <t xml:space="preserve">P10552</t>
  </si>
  <si>
    <t xml:space="preserve">P10553</t>
  </si>
  <si>
    <t xml:space="preserve">2022-02-06</t>
  </si>
  <si>
    <t xml:space="preserve">2022-02-11</t>
  </si>
  <si>
    <t xml:space="preserve">P10554</t>
  </si>
  <si>
    <t xml:space="preserve">2023-10-02</t>
  </si>
  <si>
    <t xml:space="preserve">2023-10-06</t>
  </si>
  <si>
    <t xml:space="preserve">P10555</t>
  </si>
  <si>
    <t xml:space="preserve">P10556</t>
  </si>
  <si>
    <t xml:space="preserve">2022-07-05</t>
  </si>
  <si>
    <t xml:space="preserve">P10557</t>
  </si>
  <si>
    <t xml:space="preserve">P10558</t>
  </si>
  <si>
    <t xml:space="preserve">2023-04-21</t>
  </si>
  <si>
    <t xml:space="preserve">2023-04-29</t>
  </si>
  <si>
    <t xml:space="preserve">P10559</t>
  </si>
  <si>
    <t xml:space="preserve">P10560</t>
  </si>
  <si>
    <t xml:space="preserve">2023-09-18</t>
  </si>
  <si>
    <t xml:space="preserve">2023-09-25</t>
  </si>
  <si>
    <t xml:space="preserve">P10561</t>
  </si>
  <si>
    <t xml:space="preserve">P10562</t>
  </si>
  <si>
    <t xml:space="preserve">2022-01-19</t>
  </si>
  <si>
    <t xml:space="preserve">P10563</t>
  </si>
  <si>
    <t xml:space="preserve">P10564</t>
  </si>
  <si>
    <t xml:space="preserve">P10565</t>
  </si>
  <si>
    <t xml:space="preserve">P10566</t>
  </si>
  <si>
    <t xml:space="preserve">P10567</t>
  </si>
  <si>
    <t xml:space="preserve">P10568</t>
  </si>
  <si>
    <t xml:space="preserve">P10569</t>
  </si>
  <si>
    <t xml:space="preserve">P10570</t>
  </si>
  <si>
    <t xml:space="preserve">P10571</t>
  </si>
  <si>
    <t xml:space="preserve">2023-12-08</t>
  </si>
  <si>
    <t xml:space="preserve">P10572</t>
  </si>
  <si>
    <t xml:space="preserve">P10573</t>
  </si>
  <si>
    <t xml:space="preserve">2023-03-25</t>
  </si>
  <si>
    <t xml:space="preserve">2023-03-28</t>
  </si>
  <si>
    <t xml:space="preserve">P10574</t>
  </si>
  <si>
    <t xml:space="preserve">2023-07-09</t>
  </si>
  <si>
    <t xml:space="preserve">P10575</t>
  </si>
  <si>
    <t xml:space="preserve">P10576</t>
  </si>
  <si>
    <t xml:space="preserve">P10577</t>
  </si>
  <si>
    <t xml:space="preserve">P10578</t>
  </si>
  <si>
    <t xml:space="preserve">P10579</t>
  </si>
  <si>
    <t xml:space="preserve">P10580</t>
  </si>
  <si>
    <t xml:space="preserve">2023-01-14</t>
  </si>
  <si>
    <t xml:space="preserve">P10581</t>
  </si>
  <si>
    <t xml:space="preserve">2022-01-08</t>
  </si>
  <si>
    <t xml:space="preserve">2022-01-10</t>
  </si>
  <si>
    <t xml:space="preserve">P10582</t>
  </si>
  <si>
    <t xml:space="preserve">P10583</t>
  </si>
  <si>
    <t xml:space="preserve">2022-11-05</t>
  </si>
  <si>
    <t xml:space="preserve">P10584</t>
  </si>
  <si>
    <t xml:space="preserve">P10585</t>
  </si>
  <si>
    <t xml:space="preserve">P10586</t>
  </si>
  <si>
    <t xml:space="preserve">P10587</t>
  </si>
  <si>
    <t xml:space="preserve">2022-04-23</t>
  </si>
  <si>
    <t xml:space="preserve">P10588</t>
  </si>
  <si>
    <t xml:space="preserve">2023-05-12</t>
  </si>
  <si>
    <t xml:space="preserve">P10589</t>
  </si>
  <si>
    <t xml:space="preserve">P10590</t>
  </si>
  <si>
    <t xml:space="preserve">2023-04-17</t>
  </si>
  <si>
    <t xml:space="preserve">P10591</t>
  </si>
  <si>
    <t xml:space="preserve">2023-08-29</t>
  </si>
  <si>
    <t xml:space="preserve">P10592</t>
  </si>
  <si>
    <t xml:space="preserve">P10593</t>
  </si>
  <si>
    <t xml:space="preserve">P10594</t>
  </si>
  <si>
    <t xml:space="preserve">P10595</t>
  </si>
  <si>
    <t xml:space="preserve">P10596</t>
  </si>
  <si>
    <t xml:space="preserve">P10597</t>
  </si>
  <si>
    <t xml:space="preserve">2023-09-21</t>
  </si>
  <si>
    <t xml:space="preserve">P10598</t>
  </si>
  <si>
    <t xml:space="preserve">P10599</t>
  </si>
  <si>
    <t xml:space="preserve">P10600</t>
  </si>
  <si>
    <t xml:space="preserve">P10601</t>
  </si>
  <si>
    <t xml:space="preserve">P10602</t>
  </si>
  <si>
    <t xml:space="preserve">2022-07-03</t>
  </si>
  <si>
    <t xml:space="preserve">P10603</t>
  </si>
  <si>
    <t xml:space="preserve">2023-03-14</t>
  </si>
  <si>
    <t xml:space="preserve">P10604</t>
  </si>
  <si>
    <t xml:space="preserve">P10605</t>
  </si>
  <si>
    <t xml:space="preserve">P10606</t>
  </si>
  <si>
    <t xml:space="preserve">P10607</t>
  </si>
  <si>
    <t xml:space="preserve">P10608</t>
  </si>
  <si>
    <t xml:space="preserve">2023-12-26</t>
  </si>
  <si>
    <t xml:space="preserve">2024-01-01</t>
  </si>
  <si>
    <t xml:space="preserve">P10609</t>
  </si>
  <si>
    <t xml:space="preserve">2022-06-04</t>
  </si>
  <si>
    <t xml:space="preserve">P10610</t>
  </si>
  <si>
    <t xml:space="preserve">2023-11-18</t>
  </si>
  <si>
    <t xml:space="preserve">P10611</t>
  </si>
  <si>
    <t xml:space="preserve">P10612</t>
  </si>
  <si>
    <t xml:space="preserve">P10613</t>
  </si>
  <si>
    <t xml:space="preserve">P10614</t>
  </si>
  <si>
    <t xml:space="preserve">P10615</t>
  </si>
  <si>
    <t xml:space="preserve">P10616</t>
  </si>
  <si>
    <t xml:space="preserve">P10617</t>
  </si>
  <si>
    <t xml:space="preserve">2022-06-29</t>
  </si>
  <si>
    <t xml:space="preserve">P10618</t>
  </si>
  <si>
    <t xml:space="preserve">2023-05-23</t>
  </si>
  <si>
    <t xml:space="preserve">P10619</t>
  </si>
  <si>
    <t xml:space="preserve">P10620</t>
  </si>
  <si>
    <t xml:space="preserve">2022-05-03</t>
  </si>
  <si>
    <t xml:space="preserve">P10621</t>
  </si>
  <si>
    <t xml:space="preserve">2023-12-04</t>
  </si>
  <si>
    <t xml:space="preserve">P10622</t>
  </si>
  <si>
    <t xml:space="preserve">P10623</t>
  </si>
  <si>
    <t xml:space="preserve">P10624</t>
  </si>
  <si>
    <t xml:space="preserve">P10625</t>
  </si>
  <si>
    <t xml:space="preserve">P10626</t>
  </si>
  <si>
    <t xml:space="preserve">P10627</t>
  </si>
  <si>
    <t xml:space="preserve">2023-04-05</t>
  </si>
  <si>
    <t xml:space="preserve">P10628</t>
  </si>
  <si>
    <t xml:space="preserve">2022-08-26</t>
  </si>
  <si>
    <t xml:space="preserve">P10629</t>
  </si>
  <si>
    <t xml:space="preserve">2022-02-19</t>
  </si>
  <si>
    <t xml:space="preserve">P10630</t>
  </si>
  <si>
    <t xml:space="preserve">P10631</t>
  </si>
  <si>
    <t xml:space="preserve">P10632</t>
  </si>
  <si>
    <t xml:space="preserve">P10633</t>
  </si>
  <si>
    <t xml:space="preserve">P10634</t>
  </si>
  <si>
    <t xml:space="preserve">P10635</t>
  </si>
  <si>
    <t xml:space="preserve">P10636</t>
  </si>
  <si>
    <t xml:space="preserve">2023-03-15</t>
  </si>
  <si>
    <t xml:space="preserve">2023-03-19</t>
  </si>
  <si>
    <t xml:space="preserve">P10637</t>
  </si>
  <si>
    <t xml:space="preserve">P10638</t>
  </si>
  <si>
    <t xml:space="preserve">P10639</t>
  </si>
  <si>
    <t xml:space="preserve">P10640</t>
  </si>
  <si>
    <t xml:space="preserve">P10641</t>
  </si>
  <si>
    <t xml:space="preserve">P10642</t>
  </si>
  <si>
    <t xml:space="preserve">P10643</t>
  </si>
  <si>
    <t xml:space="preserve">2023-01-21</t>
  </si>
  <si>
    <t xml:space="preserve">2023-01-22</t>
  </si>
  <si>
    <t xml:space="preserve">P10644</t>
  </si>
  <si>
    <t xml:space="preserve">P10645</t>
  </si>
  <si>
    <t xml:space="preserve">P10646</t>
  </si>
  <si>
    <t xml:space="preserve">P10647</t>
  </si>
  <si>
    <t xml:space="preserve">P10648</t>
  </si>
  <si>
    <t xml:space="preserve">2022-06-23</t>
  </si>
  <si>
    <t xml:space="preserve">P10649</t>
  </si>
  <si>
    <t xml:space="preserve">P10650</t>
  </si>
  <si>
    <t xml:space="preserve">P10651</t>
  </si>
  <si>
    <t xml:space="preserve">P10652</t>
  </si>
  <si>
    <t xml:space="preserve">P10653</t>
  </si>
  <si>
    <t xml:space="preserve">P10654</t>
  </si>
  <si>
    <t xml:space="preserve">P10655</t>
  </si>
  <si>
    <t xml:space="preserve">2023-10-16</t>
  </si>
  <si>
    <t xml:space="preserve">P10656</t>
  </si>
  <si>
    <t xml:space="preserve">2022-06-06</t>
  </si>
  <si>
    <t xml:space="preserve">P10657</t>
  </si>
  <si>
    <t xml:space="preserve">2022-10-07</t>
  </si>
  <si>
    <t xml:space="preserve">P10658</t>
  </si>
  <si>
    <t xml:space="preserve">P10659</t>
  </si>
  <si>
    <t xml:space="preserve">P10660</t>
  </si>
  <si>
    <t xml:space="preserve">P10661</t>
  </si>
  <si>
    <t xml:space="preserve">P10662</t>
  </si>
  <si>
    <t xml:space="preserve">2022-05-09</t>
  </si>
  <si>
    <t xml:space="preserve">P10663</t>
  </si>
  <si>
    <t xml:space="preserve">P10664</t>
  </si>
  <si>
    <t xml:space="preserve">P10665</t>
  </si>
  <si>
    <t xml:space="preserve">P10666</t>
  </si>
  <si>
    <t xml:space="preserve">2023-10-20</t>
  </si>
  <si>
    <t xml:space="preserve">P10667</t>
  </si>
  <si>
    <t xml:space="preserve">P10668</t>
  </si>
  <si>
    <t xml:space="preserve">P10669</t>
  </si>
  <si>
    <t xml:space="preserve">P10670</t>
  </si>
  <si>
    <t xml:space="preserve">2023-10-19</t>
  </si>
  <si>
    <t xml:space="preserve">P10671</t>
  </si>
  <si>
    <t xml:space="preserve">P10672</t>
  </si>
  <si>
    <t xml:space="preserve">P10673</t>
  </si>
  <si>
    <t xml:space="preserve">P10674</t>
  </si>
  <si>
    <t xml:space="preserve">P10675</t>
  </si>
  <si>
    <t xml:space="preserve">2023-11-29</t>
  </si>
  <si>
    <t xml:space="preserve">P10676</t>
  </si>
  <si>
    <t xml:space="preserve">P10677</t>
  </si>
  <si>
    <t xml:space="preserve">2023-09-29</t>
  </si>
  <si>
    <t xml:space="preserve">P10678</t>
  </si>
  <si>
    <t xml:space="preserve">P10679</t>
  </si>
  <si>
    <t xml:space="preserve">P10680</t>
  </si>
  <si>
    <t xml:space="preserve">P10681</t>
  </si>
  <si>
    <t xml:space="preserve">2022-11-21</t>
  </si>
  <si>
    <t xml:space="preserve">P10682</t>
  </si>
  <si>
    <t xml:space="preserve">P10683</t>
  </si>
  <si>
    <t xml:space="preserve">P10684</t>
  </si>
  <si>
    <t xml:space="preserve">P10685</t>
  </si>
  <si>
    <t xml:space="preserve">P10686</t>
  </si>
  <si>
    <t xml:space="preserve">P10687</t>
  </si>
  <si>
    <t xml:space="preserve">P10688</t>
  </si>
  <si>
    <t xml:space="preserve">2022-06-07</t>
  </si>
  <si>
    <t xml:space="preserve">P10689</t>
  </si>
  <si>
    <t xml:space="preserve">P10690</t>
  </si>
  <si>
    <t xml:space="preserve">2023-09-09</t>
  </si>
  <si>
    <t xml:space="preserve">2023-09-12</t>
  </si>
  <si>
    <t xml:space="preserve">P10691</t>
  </si>
  <si>
    <t xml:space="preserve">P10692</t>
  </si>
  <si>
    <t xml:space="preserve">P10693</t>
  </si>
  <si>
    <t xml:space="preserve">P10694</t>
  </si>
  <si>
    <t xml:space="preserve">P10695</t>
  </si>
  <si>
    <t xml:space="preserve">2023-05-08</t>
  </si>
  <si>
    <t xml:space="preserve">P10696</t>
  </si>
  <si>
    <t xml:space="preserve">P10697</t>
  </si>
  <si>
    <t xml:space="preserve">P10698</t>
  </si>
  <si>
    <t xml:space="preserve">2022-11-01</t>
  </si>
  <si>
    <t xml:space="preserve">P10699</t>
  </si>
  <si>
    <t xml:space="preserve">P10700</t>
  </si>
  <si>
    <t xml:space="preserve">P10701</t>
  </si>
  <si>
    <t xml:space="preserve">P10702</t>
  </si>
  <si>
    <t xml:space="preserve">P10703</t>
  </si>
  <si>
    <t xml:space="preserve">P10704</t>
  </si>
  <si>
    <t xml:space="preserve">P10705</t>
  </si>
  <si>
    <t xml:space="preserve">P10706</t>
  </si>
  <si>
    <t xml:space="preserve">P10707</t>
  </si>
  <si>
    <t xml:space="preserve">P10708</t>
  </si>
  <si>
    <t xml:space="preserve">P10709</t>
  </si>
  <si>
    <t xml:space="preserve">2023-12-09</t>
  </si>
  <si>
    <t xml:space="preserve">P10710</t>
  </si>
  <si>
    <t xml:space="preserve">2023-05-21</t>
  </si>
  <si>
    <t xml:space="preserve">P10711</t>
  </si>
  <si>
    <t xml:space="preserve">P10712</t>
  </si>
  <si>
    <t xml:space="preserve">P10713</t>
  </si>
  <si>
    <t xml:space="preserve">P10714</t>
  </si>
  <si>
    <t xml:space="preserve">P10715</t>
  </si>
  <si>
    <t xml:space="preserve">P10716</t>
  </si>
  <si>
    <t xml:space="preserve">P10717</t>
  </si>
  <si>
    <t xml:space="preserve">P10718</t>
  </si>
  <si>
    <t xml:space="preserve">P10719</t>
  </si>
  <si>
    <t xml:space="preserve">P10720</t>
  </si>
  <si>
    <t xml:space="preserve">2022-11-18</t>
  </si>
  <si>
    <t xml:space="preserve">P10721</t>
  </si>
  <si>
    <t xml:space="preserve">P10722</t>
  </si>
  <si>
    <t xml:space="preserve">2022-05-12</t>
  </si>
  <si>
    <t xml:space="preserve">P10723</t>
  </si>
  <si>
    <t xml:space="preserve">P10724</t>
  </si>
  <si>
    <t xml:space="preserve">P10725</t>
  </si>
  <si>
    <t xml:space="preserve">P10726</t>
  </si>
  <si>
    <t xml:space="preserve">P10727</t>
  </si>
  <si>
    <t xml:space="preserve">2022-05-19</t>
  </si>
  <si>
    <t xml:space="preserve">P10728</t>
  </si>
  <si>
    <t xml:space="preserve">2023-08-28</t>
  </si>
  <si>
    <t xml:space="preserve">P10729</t>
  </si>
  <si>
    <t xml:space="preserve">P10730</t>
  </si>
  <si>
    <t xml:space="preserve">P10731</t>
  </si>
  <si>
    <t xml:space="preserve">2023-06-27</t>
  </si>
  <si>
    <t xml:space="preserve">P10732</t>
  </si>
  <si>
    <t xml:space="preserve">P10733</t>
  </si>
  <si>
    <t xml:space="preserve">P10734</t>
  </si>
  <si>
    <t xml:space="preserve">P10735</t>
  </si>
  <si>
    <t xml:space="preserve">2023-07-13</t>
  </si>
  <si>
    <t xml:space="preserve">P10736</t>
  </si>
  <si>
    <t xml:space="preserve">P10737</t>
  </si>
  <si>
    <t xml:space="preserve">P10738</t>
  </si>
  <si>
    <t xml:space="preserve">2023-08-18</t>
  </si>
  <si>
    <t xml:space="preserve">P10739</t>
  </si>
  <si>
    <t xml:space="preserve">P10740</t>
  </si>
  <si>
    <t xml:space="preserve">2022-04-08</t>
  </si>
  <si>
    <t xml:space="preserve">P10741</t>
  </si>
  <si>
    <t xml:space="preserve">P10742</t>
  </si>
  <si>
    <t xml:space="preserve">P10743</t>
  </si>
  <si>
    <t xml:space="preserve">P10744</t>
  </si>
  <si>
    <t xml:space="preserve">2023-08-05</t>
  </si>
  <si>
    <t xml:space="preserve">P10745</t>
  </si>
  <si>
    <t xml:space="preserve">P10746</t>
  </si>
  <si>
    <t xml:space="preserve">2023-09-05</t>
  </si>
  <si>
    <t xml:space="preserve">P10747</t>
  </si>
  <si>
    <t xml:space="preserve">P10748</t>
  </si>
  <si>
    <t xml:space="preserve">2022-12-17</t>
  </si>
  <si>
    <t xml:space="preserve">P10749</t>
  </si>
  <si>
    <t xml:space="preserve">Hospital Readmissions Dashboard</t>
  </si>
  <si>
    <t xml:space="preserve">Interactive summary — filter by hospital using the dropdown below</t>
  </si>
  <si>
    <t xml:space="preserve">Filter by Hospital:</t>
  </si>
  <si>
    <t xml:space="preserve">All Hospitals</t>
  </si>
  <si>
    <t xml:space="preserve">Filter criteria (internal):</t>
  </si>
  <si>
    <t xml:space="preserve">Total Patients</t>
  </si>
  <si>
    <t xml:space="preserve">Avg Length of Stay</t>
  </si>
  <si>
    <t xml:space="preserve">Readmission Rate</t>
  </si>
  <si>
    <t xml:space="preserve">Avg Satisfaction</t>
  </si>
  <si>
    <t xml:space="preserve">Readmission Rate by Insurance Type</t>
  </si>
  <si>
    <t xml:space="preserve">Cost per Day by Department</t>
  </si>
  <si>
    <t xml:space="preserve">Insurance Type</t>
  </si>
  <si>
    <t xml:space="preserve">Patients</t>
  </si>
  <si>
    <t xml:space="preserve">Department</t>
  </si>
  <si>
    <t xml:space="preserve">Avg Cost/Day</t>
  </si>
  <si>
    <t xml:space="preserve">Readmission Rate by Age Group</t>
  </si>
  <si>
    <t xml:space="preserve">Hospital-Level Summary (always all hospitals)</t>
  </si>
  <si>
    <t xml:space="preserve">Age Group</t>
  </si>
  <si>
    <t xml:space="preserve">Hospital</t>
  </si>
  <si>
    <t xml:space="preserve">Avg Cost</t>
  </si>
  <si>
    <t xml:space="preserve">Readmit %</t>
  </si>
  <si>
    <t xml:space="preserve">18-30</t>
  </si>
  <si>
    <t xml:space="preserve">31-45</t>
  </si>
  <si>
    <t xml:space="preserve">46-60</t>
  </si>
  <si>
    <t xml:space="preserve">61-75</t>
  </si>
  <si>
    <t xml:space="preserve">76-90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</si>
</sst>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\%"/>
    <numFmt numFmtId="167" formatCode="0.00"/>
    <numFmt numFmtId="168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2F5597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A6A6A6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2F5597"/>
      <name val="Arial"/>
      <family val="0"/>
      <charset val="1"/>
    </font>
    <font>
      <b val="true"/>
      <sz val="12"/>
      <color rgb="FF2F559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595959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ED7D31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Readmission Rate by Insurance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Readmission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Dashboard!$A$13:$A$18</c:f>
              <c:strCache>
                <c:ptCount val="6"/>
                <c:pt idx="0">
                  <c:v>Aetna</c:v>
                </c:pt>
                <c:pt idx="1">
                  <c:v>Blue Cross</c:v>
                </c:pt>
                <c:pt idx="2">
                  <c:v>Medicaid</c:v>
                </c:pt>
                <c:pt idx="3">
                  <c:v>Medicare</c:v>
                </c:pt>
                <c:pt idx="4">
                  <c:v>Uninsured</c:v>
                </c:pt>
                <c:pt idx="5">
                  <c:v>United Health</c:v>
                </c:pt>
              </c:strCache>
            </c:strRef>
          </c:cat>
          <c:val>
            <c:numRef>
              <c:f>Dashboard!$C$13:$C$18</c:f>
              <c:numCache>
                <c:formatCode>0.0\%</c:formatCode>
                <c:ptCount val="6"/>
                <c:pt idx="0">
                  <c:v>18.4</c:v>
                </c:pt>
                <c:pt idx="1">
                  <c:v>14.8</c:v>
                </c:pt>
                <c:pt idx="2">
                  <c:v>16.1</c:v>
                </c:pt>
                <c:pt idx="3">
                  <c:v>17.5</c:v>
                </c:pt>
                <c:pt idx="4">
                  <c:v>27.2</c:v>
                </c:pt>
                <c:pt idx="5">
                  <c:v>21.4</c:v>
                </c:pt>
              </c:numCache>
            </c:numRef>
          </c:val>
        </c:ser>
        <c:gapWidth val="150"/>
        <c:overlap val="0"/>
        <c:axId val="14804343"/>
        <c:axId val="51011261"/>
      </c:barChart>
      <c:catAx>
        <c:axId val="14804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11261"/>
        <c:crosses val="autoZero"/>
        <c:auto val="1"/>
        <c:lblAlgn val="ctr"/>
        <c:lblOffset val="100"/>
        <c:noMultiLvlLbl val="0"/>
      </c:catAx>
      <c:valAx>
        <c:axId val="51011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Readmission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043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Cost per Day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Dashboard!H12</c:f>
              <c:strCache>
                <c:ptCount val="1"/>
                <c:pt idx="0">
                  <c:v>Avg Cost/Day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Dashboard!$F$13:$F$18</c:f>
              <c:strCache>
                <c:ptCount val="6"/>
                <c:pt idx="0">
                  <c:v>Cardiology</c:v>
                </c:pt>
                <c:pt idx="1">
                  <c:v>Emergency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Pulmonology</c:v>
                </c:pt>
              </c:strCache>
            </c:strRef>
          </c:cat>
          <c:val>
            <c:numRef>
              <c:f>Dashboard!$H$13:$H$18</c:f>
              <c:numCache>
                <c:formatCode>\$#,##0</c:formatCode>
                <c:ptCount val="6"/>
                <c:pt idx="0">
                  <c:v>3022</c:v>
                </c:pt>
                <c:pt idx="1">
                  <c:v>2522</c:v>
                </c:pt>
                <c:pt idx="2">
                  <c:v>1793</c:v>
                </c:pt>
                <c:pt idx="3">
                  <c:v>2551</c:v>
                </c:pt>
                <c:pt idx="4">
                  <c:v>3229</c:v>
                </c:pt>
                <c:pt idx="5">
                  <c:v>2039</c:v>
                </c:pt>
              </c:numCache>
            </c:numRef>
          </c:val>
        </c:ser>
        <c:gapWidth val="150"/>
        <c:overlap val="0"/>
        <c:axId val="3535896"/>
        <c:axId val="541786"/>
      </c:barChart>
      <c:catAx>
        <c:axId val="353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786"/>
        <c:crosses val="autoZero"/>
        <c:auto val="1"/>
        <c:lblAlgn val="ctr"/>
        <c:lblOffset val="100"/>
        <c:noMultiLvlLbl val="0"/>
      </c:catAx>
      <c:valAx>
        <c:axId val="541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per Day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58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Readmission Rate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Dashboard!C22</c:f>
              <c:strCache>
                <c:ptCount val="1"/>
                <c:pt idx="0">
                  <c:v>Readmission Rate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Dashboard!$A$23:$A$27</c:f>
              <c:strCache>
                <c:ptCount val="5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61-75</c:v>
                </c:pt>
                <c:pt idx="4">
                  <c:v>76-90</c:v>
                </c:pt>
              </c:strCache>
            </c:strRef>
          </c:cat>
          <c:val>
            <c:numRef>
              <c:f>Dashboard!$C$23:$C$27</c:f>
              <c:numCache>
                <c:formatCode>0.0\%</c:formatCode>
                <c:ptCount val="5"/>
                <c:pt idx="0">
                  <c:v>19.8</c:v>
                </c:pt>
                <c:pt idx="1">
                  <c:v>18.8</c:v>
                </c:pt>
                <c:pt idx="2">
                  <c:v>18.1</c:v>
                </c:pt>
                <c:pt idx="3">
                  <c:v>14.2</c:v>
                </c:pt>
                <c:pt idx="4">
                  <c:v>24</c:v>
                </c:pt>
              </c:numCache>
            </c:numRef>
          </c:val>
        </c:ser>
        <c:gapWidth val="150"/>
        <c:overlap val="0"/>
        <c:axId val="55488358"/>
        <c:axId val="97759064"/>
      </c:barChart>
      <c:catAx>
        <c:axId val="554883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59064"/>
        <c:crosses val="autoZero"/>
        <c:auto val="1"/>
        <c:lblAlgn val="ctr"/>
        <c:lblOffset val="100"/>
        <c:noMultiLvlLbl val="0"/>
      </c:catAx>
      <c:valAx>
        <c:axId val="977590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Readmission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88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41400</xdr:rowOff>
    </xdr:from>
    <xdr:to>
      <xdr:col>4</xdr:col>
      <xdr:colOff>105840</xdr:colOff>
      <xdr:row>43</xdr:row>
      <xdr:rowOff>63360</xdr:rowOff>
    </xdr:to>
    <xdr:graphicFrame>
      <xdr:nvGraphicFramePr>
        <xdr:cNvPr id="0" name="Chart 1"/>
        <xdr:cNvGraphicFramePr/>
      </xdr:nvGraphicFramePr>
      <xdr:xfrm>
        <a:off x="0" y="5524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28</xdr:row>
      <xdr:rowOff>41400</xdr:rowOff>
    </xdr:from>
    <xdr:to>
      <xdr:col>11</xdr:col>
      <xdr:colOff>244800</xdr:colOff>
      <xdr:row>43</xdr:row>
      <xdr:rowOff>63360</xdr:rowOff>
    </xdr:to>
    <xdr:graphicFrame>
      <xdr:nvGraphicFramePr>
        <xdr:cNvPr id="1" name="Chart 2"/>
        <xdr:cNvGraphicFramePr/>
      </xdr:nvGraphicFramePr>
      <xdr:xfrm>
        <a:off x="6061680" y="5524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45</xdr:row>
      <xdr:rowOff>41400</xdr:rowOff>
    </xdr:from>
    <xdr:to>
      <xdr:col>4</xdr:col>
      <xdr:colOff>105840</xdr:colOff>
      <xdr:row>60</xdr:row>
      <xdr:rowOff>63360</xdr:rowOff>
    </xdr:to>
    <xdr:graphicFrame>
      <xdr:nvGraphicFramePr>
        <xdr:cNvPr id="2" name="Chart 3"/>
        <xdr:cNvGraphicFramePr/>
      </xdr:nvGraphicFramePr>
      <xdr:xfrm>
        <a:off x="0" y="8763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n">
        <v>32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n">
        <v>1</v>
      </c>
      <c r="K2" s="2" t="n">
        <v>4877.43</v>
      </c>
      <c r="L2" s="2" t="s">
        <v>21</v>
      </c>
      <c r="M2" s="2" t="n">
        <v>3.6</v>
      </c>
    </row>
    <row r="3" customFormat="false" ht="15" hidden="false" customHeight="false" outlineLevel="0" collapsed="false">
      <c r="A3" s="2" t="s">
        <v>22</v>
      </c>
      <c r="B3" s="2" t="n">
        <v>45</v>
      </c>
      <c r="C3" s="2" t="s">
        <v>14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n">
        <v>8</v>
      </c>
      <c r="K3" s="2" t="n">
        <v>17211.8</v>
      </c>
      <c r="L3" s="2" t="s">
        <v>21</v>
      </c>
      <c r="M3" s="2" t="n">
        <v>2.3</v>
      </c>
    </row>
    <row r="4" customFormat="false" ht="15" hidden="false" customHeight="false" outlineLevel="0" collapsed="false">
      <c r="A4" s="2" t="s">
        <v>29</v>
      </c>
      <c r="B4" s="2" t="n">
        <v>75</v>
      </c>
      <c r="C4" s="2" t="s">
        <v>30</v>
      </c>
      <c r="D4" s="2" t="s">
        <v>31</v>
      </c>
      <c r="E4" s="2" t="s">
        <v>16</v>
      </c>
      <c r="F4" s="2" t="s">
        <v>32</v>
      </c>
      <c r="G4" s="2" t="s">
        <v>33</v>
      </c>
      <c r="H4" s="2" t="s">
        <v>34</v>
      </c>
      <c r="I4" s="2" t="s">
        <v>35</v>
      </c>
      <c r="J4" s="2" t="n">
        <v>7</v>
      </c>
      <c r="K4" s="2" t="n">
        <v>12996.21</v>
      </c>
      <c r="L4" s="2" t="s">
        <v>21</v>
      </c>
      <c r="M4" s="2" t="n">
        <v>3.7</v>
      </c>
    </row>
    <row r="5" customFormat="false" ht="15" hidden="false" customHeight="false" outlineLevel="0" collapsed="false">
      <c r="A5" s="2" t="s">
        <v>36</v>
      </c>
      <c r="B5" s="2" t="n">
        <v>62</v>
      </c>
      <c r="C5" s="2" t="s">
        <v>30</v>
      </c>
      <c r="D5" s="2" t="s">
        <v>31</v>
      </c>
      <c r="E5" s="2" t="s">
        <v>37</v>
      </c>
      <c r="F5" s="2" t="s">
        <v>38</v>
      </c>
      <c r="G5" s="2" t="s">
        <v>26</v>
      </c>
      <c r="H5" s="2" t="s">
        <v>39</v>
      </c>
      <c r="I5" s="2" t="s">
        <v>40</v>
      </c>
      <c r="J5" s="2" t="n">
        <v>5</v>
      </c>
      <c r="K5" s="2" t="n">
        <v>8557.64</v>
      </c>
      <c r="L5" s="2" t="s">
        <v>21</v>
      </c>
      <c r="M5" s="2" t="n">
        <v>3.4</v>
      </c>
    </row>
    <row r="6" customFormat="false" ht="15" hidden="false" customHeight="false" outlineLevel="0" collapsed="false">
      <c r="A6" s="2" t="s">
        <v>41</v>
      </c>
      <c r="B6" s="2" t="n">
        <v>64</v>
      </c>
      <c r="C6" s="2" t="s">
        <v>14</v>
      </c>
      <c r="D6" s="2" t="s">
        <v>31</v>
      </c>
      <c r="E6" s="2" t="s">
        <v>42</v>
      </c>
      <c r="F6" s="2" t="s">
        <v>43</v>
      </c>
      <c r="G6" s="2" t="s">
        <v>33</v>
      </c>
      <c r="H6" s="2" t="s">
        <v>44</v>
      </c>
      <c r="I6" s="2" t="s">
        <v>45</v>
      </c>
      <c r="J6" s="2" t="n">
        <v>7</v>
      </c>
      <c r="K6" s="2" t="n">
        <v>8608.58</v>
      </c>
      <c r="L6" s="2" t="s">
        <v>21</v>
      </c>
      <c r="M6" s="2" t="n">
        <v>2.2</v>
      </c>
    </row>
    <row r="7" customFormat="false" ht="15" hidden="false" customHeight="false" outlineLevel="0" collapsed="false">
      <c r="A7" s="2" t="s">
        <v>46</v>
      </c>
      <c r="B7" s="2" t="n">
        <v>38</v>
      </c>
      <c r="C7" s="2" t="s">
        <v>30</v>
      </c>
      <c r="D7" s="2" t="s">
        <v>15</v>
      </c>
      <c r="E7" s="2" t="s">
        <v>16</v>
      </c>
      <c r="F7" s="2" t="s">
        <v>47</v>
      </c>
      <c r="G7" s="2" t="s">
        <v>48</v>
      </c>
      <c r="H7" s="2" t="s">
        <v>49</v>
      </c>
      <c r="I7" s="2" t="s">
        <v>50</v>
      </c>
      <c r="J7" s="2" t="n">
        <v>4</v>
      </c>
      <c r="K7" s="2" t="n">
        <v>7620.22</v>
      </c>
      <c r="L7" s="2" t="s">
        <v>21</v>
      </c>
      <c r="M7" s="2" t="n">
        <v>2.8</v>
      </c>
    </row>
    <row r="8" customFormat="false" ht="15" hidden="false" customHeight="false" outlineLevel="0" collapsed="false">
      <c r="A8" s="2" t="s">
        <v>51</v>
      </c>
      <c r="B8" s="2" t="n">
        <v>49</v>
      </c>
      <c r="C8" s="2" t="s">
        <v>14</v>
      </c>
      <c r="D8" s="2" t="s">
        <v>52</v>
      </c>
      <c r="E8" s="2" t="s">
        <v>53</v>
      </c>
      <c r="F8" s="2" t="s">
        <v>54</v>
      </c>
      <c r="G8" s="2" t="s">
        <v>48</v>
      </c>
      <c r="H8" s="2" t="s">
        <v>55</v>
      </c>
      <c r="I8" s="2" t="s">
        <v>56</v>
      </c>
      <c r="J8" s="2" t="n">
        <v>1</v>
      </c>
      <c r="K8" s="2" t="n">
        <v>3259.47</v>
      </c>
      <c r="L8" s="2" t="s">
        <v>57</v>
      </c>
      <c r="M8" s="2" t="n">
        <v>3.8</v>
      </c>
    </row>
    <row r="9" customFormat="false" ht="15" hidden="false" customHeight="false" outlineLevel="0" collapsed="false">
      <c r="A9" s="2" t="s">
        <v>58</v>
      </c>
      <c r="B9" s="2" t="n">
        <v>22</v>
      </c>
      <c r="C9" s="2" t="s">
        <v>30</v>
      </c>
      <c r="D9" s="2" t="s">
        <v>52</v>
      </c>
      <c r="E9" s="2" t="s">
        <v>59</v>
      </c>
      <c r="F9" s="2" t="s">
        <v>60</v>
      </c>
      <c r="G9" s="2" t="s">
        <v>18</v>
      </c>
      <c r="H9" s="2" t="s">
        <v>61</v>
      </c>
      <c r="I9" s="2" t="s">
        <v>62</v>
      </c>
      <c r="J9" s="2" t="n">
        <v>3</v>
      </c>
      <c r="K9" s="2" t="n">
        <v>8843.16</v>
      </c>
      <c r="L9" s="2" t="s">
        <v>21</v>
      </c>
      <c r="M9" s="2" t="n">
        <v>3.2</v>
      </c>
    </row>
    <row r="10" customFormat="false" ht="15" hidden="false" customHeight="false" outlineLevel="0" collapsed="false">
      <c r="A10" s="2" t="s">
        <v>63</v>
      </c>
      <c r="B10" s="2" t="n">
        <v>68</v>
      </c>
      <c r="C10" s="2" t="s">
        <v>30</v>
      </c>
      <c r="D10" s="2" t="s">
        <v>64</v>
      </c>
      <c r="E10" s="2" t="s">
        <v>59</v>
      </c>
      <c r="F10" s="2" t="s">
        <v>65</v>
      </c>
      <c r="G10" s="2" t="s">
        <v>18</v>
      </c>
      <c r="H10" s="2" t="s">
        <v>66</v>
      </c>
      <c r="I10" s="2" t="s">
        <v>67</v>
      </c>
      <c r="J10" s="2" t="n">
        <v>3</v>
      </c>
      <c r="K10" s="2" t="n">
        <v>7453.29</v>
      </c>
      <c r="L10" s="2" t="s">
        <v>21</v>
      </c>
      <c r="M10" s="2" t="n">
        <v>3.1</v>
      </c>
    </row>
    <row r="11" customFormat="false" ht="15" hidden="false" customHeight="false" outlineLevel="0" collapsed="false">
      <c r="A11" s="2" t="s">
        <v>68</v>
      </c>
      <c r="B11" s="2" t="n">
        <v>35</v>
      </c>
      <c r="C11" s="2" t="s">
        <v>30</v>
      </c>
      <c r="D11" s="2" t="s">
        <v>31</v>
      </c>
      <c r="E11" s="2" t="s">
        <v>42</v>
      </c>
      <c r="F11" s="2" t="s">
        <v>69</v>
      </c>
      <c r="G11" s="2" t="s">
        <v>18</v>
      </c>
      <c r="H11" s="2" t="s">
        <v>70</v>
      </c>
      <c r="I11" s="2" t="s">
        <v>71</v>
      </c>
      <c r="J11" s="2" t="n">
        <v>3</v>
      </c>
      <c r="K11" s="2" t="n">
        <v>11076.25</v>
      </c>
      <c r="L11" s="2" t="s">
        <v>21</v>
      </c>
      <c r="M11" s="2" t="n">
        <v>4.5</v>
      </c>
    </row>
    <row r="12" customFormat="false" ht="15" hidden="false" customHeight="false" outlineLevel="0" collapsed="false">
      <c r="A12" s="2" t="s">
        <v>72</v>
      </c>
      <c r="B12" s="2" t="n">
        <v>67</v>
      </c>
      <c r="C12" s="2" t="s">
        <v>30</v>
      </c>
      <c r="D12" s="2" t="s">
        <v>23</v>
      </c>
      <c r="E12" s="2" t="s">
        <v>53</v>
      </c>
      <c r="F12" s="2" t="s">
        <v>54</v>
      </c>
      <c r="G12" s="2" t="s">
        <v>26</v>
      </c>
      <c r="H12" s="2" t="s">
        <v>73</v>
      </c>
      <c r="I12" s="2" t="s">
        <v>74</v>
      </c>
      <c r="J12" s="2" t="n">
        <v>2</v>
      </c>
      <c r="K12" s="2" t="n">
        <v>3714.11</v>
      </c>
      <c r="L12" s="2" t="s">
        <v>57</v>
      </c>
      <c r="M12" s="2" t="n">
        <v>3.7</v>
      </c>
    </row>
    <row r="13" customFormat="false" ht="15" hidden="false" customHeight="false" outlineLevel="0" collapsed="false">
      <c r="A13" s="2" t="s">
        <v>75</v>
      </c>
      <c r="B13" s="2" t="n">
        <v>61</v>
      </c>
      <c r="C13" s="2" t="s">
        <v>14</v>
      </c>
      <c r="D13" s="2" t="s">
        <v>15</v>
      </c>
      <c r="E13" s="2" t="s">
        <v>53</v>
      </c>
      <c r="F13" s="2" t="s">
        <v>76</v>
      </c>
      <c r="G13" s="2" t="s">
        <v>77</v>
      </c>
      <c r="H13" s="2" t="s">
        <v>78</v>
      </c>
      <c r="I13" s="2" t="s">
        <v>79</v>
      </c>
      <c r="J13" s="2" t="n">
        <v>1</v>
      </c>
      <c r="K13" s="2" t="n">
        <v>4852.66</v>
      </c>
      <c r="L13" s="2" t="s">
        <v>21</v>
      </c>
      <c r="M13" s="2" t="n">
        <v>3.3</v>
      </c>
    </row>
    <row r="14" customFormat="false" ht="15" hidden="false" customHeight="false" outlineLevel="0" collapsed="false">
      <c r="A14" s="2" t="s">
        <v>80</v>
      </c>
      <c r="B14" s="2" t="n">
        <v>82</v>
      </c>
      <c r="C14" s="2" t="s">
        <v>14</v>
      </c>
      <c r="D14" s="2" t="s">
        <v>23</v>
      </c>
      <c r="E14" s="2" t="s">
        <v>42</v>
      </c>
      <c r="F14" s="2" t="s">
        <v>81</v>
      </c>
      <c r="G14" s="2" t="s">
        <v>48</v>
      </c>
      <c r="H14" s="2" t="s">
        <v>82</v>
      </c>
      <c r="I14" s="2" t="s">
        <v>83</v>
      </c>
      <c r="J14" s="2" t="n">
        <v>5</v>
      </c>
      <c r="K14" s="2" t="n">
        <v>9880.77</v>
      </c>
      <c r="L14" s="2" t="s">
        <v>57</v>
      </c>
      <c r="M14" s="2" t="n">
        <v>2.4</v>
      </c>
    </row>
    <row r="15" customFormat="false" ht="15" hidden="false" customHeight="false" outlineLevel="0" collapsed="false">
      <c r="A15" s="2" t="s">
        <v>84</v>
      </c>
      <c r="B15" s="2" t="n">
        <v>85</v>
      </c>
      <c r="C15" s="2" t="s">
        <v>14</v>
      </c>
      <c r="D15" s="2" t="s">
        <v>23</v>
      </c>
      <c r="E15" s="2" t="s">
        <v>59</v>
      </c>
      <c r="F15" s="2" t="s">
        <v>85</v>
      </c>
      <c r="G15" s="2" t="s">
        <v>86</v>
      </c>
      <c r="H15" s="2" t="s">
        <v>87</v>
      </c>
      <c r="I15" s="2" t="s">
        <v>88</v>
      </c>
      <c r="J15" s="2" t="n">
        <v>6</v>
      </c>
      <c r="K15" s="2" t="n">
        <v>11720.93</v>
      </c>
      <c r="L15" s="2" t="s">
        <v>57</v>
      </c>
      <c r="M15" s="2" t="n">
        <v>2.9</v>
      </c>
    </row>
    <row r="16" customFormat="false" ht="15" hidden="false" customHeight="false" outlineLevel="0" collapsed="false">
      <c r="A16" s="2" t="s">
        <v>89</v>
      </c>
      <c r="B16" s="2" t="n">
        <v>57</v>
      </c>
      <c r="C16" s="2" t="s">
        <v>14</v>
      </c>
      <c r="D16" s="2" t="s">
        <v>31</v>
      </c>
      <c r="E16" s="2" t="s">
        <v>16</v>
      </c>
      <c r="F16" s="2" t="s">
        <v>90</v>
      </c>
      <c r="G16" s="2" t="s">
        <v>86</v>
      </c>
      <c r="H16" s="2" t="s">
        <v>91</v>
      </c>
      <c r="I16" s="2" t="s">
        <v>92</v>
      </c>
      <c r="J16" s="2" t="n">
        <v>6</v>
      </c>
      <c r="K16" s="2" t="n">
        <v>5959.26</v>
      </c>
      <c r="L16" s="2" t="s">
        <v>21</v>
      </c>
      <c r="M16" s="2" t="n">
        <v>4.2</v>
      </c>
    </row>
    <row r="17" customFormat="false" ht="15" hidden="false" customHeight="false" outlineLevel="0" collapsed="false">
      <c r="A17" s="2" t="s">
        <v>93</v>
      </c>
      <c r="B17" s="2" t="n">
        <v>88</v>
      </c>
      <c r="C17" s="2" t="s">
        <v>14</v>
      </c>
      <c r="D17" s="2" t="s">
        <v>15</v>
      </c>
      <c r="E17" s="2" t="s">
        <v>24</v>
      </c>
      <c r="F17" s="2" t="s">
        <v>94</v>
      </c>
      <c r="G17" s="2" t="s">
        <v>18</v>
      </c>
      <c r="H17" s="2" t="s">
        <v>95</v>
      </c>
      <c r="I17" s="2" t="s">
        <v>96</v>
      </c>
      <c r="J17" s="2" t="n">
        <v>11</v>
      </c>
      <c r="K17" s="2" t="n">
        <v>19551.84</v>
      </c>
      <c r="L17" s="2" t="s">
        <v>97</v>
      </c>
      <c r="M17" s="2" t="n">
        <v>2.2</v>
      </c>
    </row>
    <row r="18" customFormat="false" ht="15" hidden="false" customHeight="false" outlineLevel="0" collapsed="false">
      <c r="A18" s="2" t="s">
        <v>98</v>
      </c>
      <c r="B18" s="2" t="n">
        <v>69</v>
      </c>
      <c r="C18" s="2" t="s">
        <v>30</v>
      </c>
      <c r="D18" s="2" t="s">
        <v>52</v>
      </c>
      <c r="E18" s="2" t="s">
        <v>24</v>
      </c>
      <c r="F18" s="2" t="s">
        <v>94</v>
      </c>
      <c r="G18" s="2" t="s">
        <v>86</v>
      </c>
      <c r="H18" s="2" t="s">
        <v>99</v>
      </c>
      <c r="I18" s="2" t="s">
        <v>100</v>
      </c>
      <c r="J18" s="2" t="n">
        <v>8</v>
      </c>
      <c r="K18" s="2" t="n">
        <v>20890.91</v>
      </c>
      <c r="L18" s="2" t="s">
        <v>21</v>
      </c>
      <c r="M18" s="2" t="n">
        <v>3.5</v>
      </c>
    </row>
    <row r="19" customFormat="false" ht="15" hidden="false" customHeight="false" outlineLevel="0" collapsed="false">
      <c r="A19" s="2" t="s">
        <v>101</v>
      </c>
      <c r="B19" s="2" t="n">
        <v>27</v>
      </c>
      <c r="C19" s="2" t="s">
        <v>14</v>
      </c>
      <c r="D19" s="2" t="s">
        <v>64</v>
      </c>
      <c r="E19" s="2" t="s">
        <v>42</v>
      </c>
      <c r="F19" s="2" t="s">
        <v>69</v>
      </c>
      <c r="G19" s="2" t="s">
        <v>33</v>
      </c>
      <c r="H19" s="2" t="s">
        <v>102</v>
      </c>
      <c r="I19" s="2" t="s">
        <v>103</v>
      </c>
      <c r="J19" s="2" t="n">
        <v>5</v>
      </c>
      <c r="K19" s="2" t="n">
        <v>9131.92</v>
      </c>
      <c r="L19" s="2" t="s">
        <v>21</v>
      </c>
      <c r="M19" s="2" t="n">
        <v>3.5</v>
      </c>
    </row>
    <row r="20" customFormat="false" ht="15" hidden="false" customHeight="false" outlineLevel="0" collapsed="false">
      <c r="A20" s="2" t="s">
        <v>104</v>
      </c>
      <c r="B20" s="2" t="n">
        <v>87</v>
      </c>
      <c r="C20" s="2" t="s">
        <v>14</v>
      </c>
      <c r="D20" s="2" t="s">
        <v>23</v>
      </c>
      <c r="E20" s="2" t="s">
        <v>24</v>
      </c>
      <c r="F20" s="2" t="s">
        <v>94</v>
      </c>
      <c r="G20" s="2" t="s">
        <v>18</v>
      </c>
      <c r="H20" s="2" t="s">
        <v>105</v>
      </c>
      <c r="I20" s="2" t="s">
        <v>106</v>
      </c>
      <c r="J20" s="2" t="n">
        <v>9</v>
      </c>
      <c r="K20" s="2" t="n">
        <v>16775.97</v>
      </c>
      <c r="L20" s="2" t="s">
        <v>21</v>
      </c>
      <c r="M20" s="2" t="n">
        <v>2.7</v>
      </c>
    </row>
    <row r="21" customFormat="false" ht="15" hidden="false" customHeight="false" outlineLevel="0" collapsed="false">
      <c r="A21" s="2" t="s">
        <v>107</v>
      </c>
      <c r="B21" s="2" t="n">
        <v>77</v>
      </c>
      <c r="C21" s="2" t="s">
        <v>14</v>
      </c>
      <c r="D21" s="2" t="s">
        <v>31</v>
      </c>
      <c r="E21" s="2" t="s">
        <v>42</v>
      </c>
      <c r="F21" s="2" t="s">
        <v>108</v>
      </c>
      <c r="G21" s="2" t="s">
        <v>48</v>
      </c>
      <c r="H21" s="2" t="s">
        <v>109</v>
      </c>
      <c r="I21" s="2" t="s">
        <v>110</v>
      </c>
      <c r="J21" s="2" t="n">
        <v>6</v>
      </c>
      <c r="K21" s="2" t="n">
        <v>11155.61</v>
      </c>
      <c r="L21" s="2" t="s">
        <v>21</v>
      </c>
      <c r="M21" s="2" t="n">
        <v>3.2</v>
      </c>
    </row>
    <row r="22" customFormat="false" ht="15" hidden="false" customHeight="false" outlineLevel="0" collapsed="false">
      <c r="A22" s="2" t="s">
        <v>111</v>
      </c>
      <c r="B22" s="2" t="n">
        <v>86</v>
      </c>
      <c r="C22" s="2" t="s">
        <v>30</v>
      </c>
      <c r="D22" s="2" t="s">
        <v>64</v>
      </c>
      <c r="E22" s="2" t="s">
        <v>53</v>
      </c>
      <c r="F22" s="2" t="s">
        <v>76</v>
      </c>
      <c r="G22" s="2" t="s">
        <v>33</v>
      </c>
      <c r="H22" s="2" t="s">
        <v>112</v>
      </c>
      <c r="I22" s="2" t="s">
        <v>113</v>
      </c>
      <c r="J22" s="2" t="n">
        <v>3</v>
      </c>
      <c r="K22" s="2" t="n">
        <v>5850.25</v>
      </c>
      <c r="L22" s="2" t="s">
        <v>21</v>
      </c>
      <c r="M22" s="2" t="n">
        <v>4.2</v>
      </c>
    </row>
    <row r="23" customFormat="false" ht="15" hidden="false" customHeight="false" outlineLevel="0" collapsed="false">
      <c r="A23" s="2" t="s">
        <v>114</v>
      </c>
      <c r="B23" s="2" t="n">
        <v>24</v>
      </c>
      <c r="C23" s="2" t="s">
        <v>14</v>
      </c>
      <c r="D23" s="2" t="s">
        <v>31</v>
      </c>
      <c r="E23" s="2" t="s">
        <v>16</v>
      </c>
      <c r="F23" s="2" t="s">
        <v>17</v>
      </c>
      <c r="G23" s="2" t="s">
        <v>77</v>
      </c>
      <c r="H23" s="2" t="s">
        <v>91</v>
      </c>
      <c r="I23" s="2" t="s">
        <v>115</v>
      </c>
      <c r="J23" s="2" t="n">
        <v>1</v>
      </c>
      <c r="K23" s="2" t="n">
        <v>4739.81</v>
      </c>
      <c r="L23" s="2" t="s">
        <v>57</v>
      </c>
      <c r="M23" s="2" t="n">
        <v>3.9</v>
      </c>
    </row>
    <row r="24" customFormat="false" ht="15" hidden="false" customHeight="false" outlineLevel="0" collapsed="false">
      <c r="A24" s="2" t="s">
        <v>116</v>
      </c>
      <c r="B24" s="2" t="n">
        <v>39</v>
      </c>
      <c r="C24" s="2" t="s">
        <v>30</v>
      </c>
      <c r="D24" s="2" t="s">
        <v>31</v>
      </c>
      <c r="E24" s="2" t="s">
        <v>53</v>
      </c>
      <c r="F24" s="2" t="s">
        <v>54</v>
      </c>
      <c r="G24" s="2" t="s">
        <v>77</v>
      </c>
      <c r="H24" s="2" t="s">
        <v>117</v>
      </c>
      <c r="I24" s="2" t="s">
        <v>118</v>
      </c>
      <c r="J24" s="2" t="n">
        <v>1</v>
      </c>
      <c r="K24" s="2" t="n">
        <v>4347.62</v>
      </c>
      <c r="L24" s="2" t="s">
        <v>119</v>
      </c>
      <c r="M24" s="2"/>
    </row>
    <row r="25" customFormat="false" ht="15" hidden="false" customHeight="false" outlineLevel="0" collapsed="false">
      <c r="A25" s="2" t="s">
        <v>120</v>
      </c>
      <c r="B25" s="2" t="n">
        <v>89</v>
      </c>
      <c r="C25" s="2" t="s">
        <v>30</v>
      </c>
      <c r="D25" s="2" t="s">
        <v>64</v>
      </c>
      <c r="E25" s="2" t="s">
        <v>16</v>
      </c>
      <c r="F25" s="2" t="s">
        <v>47</v>
      </c>
      <c r="G25" s="2" t="s">
        <v>18</v>
      </c>
      <c r="H25" s="2" t="s">
        <v>121</v>
      </c>
      <c r="I25" s="2" t="s">
        <v>122</v>
      </c>
      <c r="J25" s="2" t="n">
        <v>2</v>
      </c>
      <c r="K25" s="2" t="n">
        <v>7140.94</v>
      </c>
      <c r="L25" s="2" t="s">
        <v>97</v>
      </c>
      <c r="M25" s="2" t="n">
        <v>4.6</v>
      </c>
    </row>
    <row r="26" customFormat="false" ht="15" hidden="false" customHeight="false" outlineLevel="0" collapsed="false">
      <c r="A26" s="2" t="s">
        <v>123</v>
      </c>
      <c r="B26" s="2" t="n">
        <v>82</v>
      </c>
      <c r="C26" s="2" t="s">
        <v>14</v>
      </c>
      <c r="D26" s="2" t="s">
        <v>31</v>
      </c>
      <c r="E26" s="2" t="s">
        <v>24</v>
      </c>
      <c r="F26" s="2" t="s">
        <v>25</v>
      </c>
      <c r="G26" s="2" t="s">
        <v>18</v>
      </c>
      <c r="H26" s="2" t="s">
        <v>124</v>
      </c>
      <c r="I26" s="2" t="s">
        <v>125</v>
      </c>
      <c r="J26" s="2" t="n">
        <v>9</v>
      </c>
      <c r="K26" s="2" t="n">
        <v>14879.38</v>
      </c>
      <c r="L26" s="2" t="s">
        <v>21</v>
      </c>
      <c r="M26" s="2" t="n">
        <v>2.8</v>
      </c>
    </row>
    <row r="27" customFormat="false" ht="15" hidden="false" customHeight="false" outlineLevel="0" collapsed="false">
      <c r="A27" s="2" t="s">
        <v>126</v>
      </c>
      <c r="B27" s="2" t="n">
        <v>33</v>
      </c>
      <c r="C27" s="2" t="s">
        <v>14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127</v>
      </c>
      <c r="I27" s="2" t="s">
        <v>45</v>
      </c>
      <c r="J27" s="2" t="n">
        <v>5</v>
      </c>
      <c r="K27" s="2" t="n">
        <v>18930.23</v>
      </c>
      <c r="L27" s="2" t="s">
        <v>21</v>
      </c>
      <c r="M27" s="2" t="n">
        <v>4</v>
      </c>
    </row>
    <row r="28" customFormat="false" ht="15" hidden="false" customHeight="false" outlineLevel="0" collapsed="false">
      <c r="A28" s="2" t="s">
        <v>128</v>
      </c>
      <c r="B28" s="2" t="n">
        <v>58</v>
      </c>
      <c r="C28" s="2" t="s">
        <v>14</v>
      </c>
      <c r="D28" s="2" t="s">
        <v>15</v>
      </c>
      <c r="E28" s="2" t="s">
        <v>53</v>
      </c>
      <c r="F28" s="2" t="s">
        <v>76</v>
      </c>
      <c r="G28" s="2" t="s">
        <v>48</v>
      </c>
      <c r="H28" s="2" t="s">
        <v>129</v>
      </c>
      <c r="I28" s="2" t="s">
        <v>130</v>
      </c>
      <c r="J28" s="2" t="n">
        <v>1</v>
      </c>
      <c r="K28" s="2" t="n">
        <v>3427.58</v>
      </c>
      <c r="L28" s="2" t="s">
        <v>97</v>
      </c>
      <c r="M28" s="2" t="n">
        <v>4.3</v>
      </c>
    </row>
    <row r="29" customFormat="false" ht="15" hidden="false" customHeight="false" outlineLevel="0" collapsed="false">
      <c r="A29" s="2" t="s">
        <v>131</v>
      </c>
      <c r="B29" s="2" t="n">
        <v>27</v>
      </c>
      <c r="C29" s="2" t="s">
        <v>14</v>
      </c>
      <c r="D29" s="2" t="s">
        <v>52</v>
      </c>
      <c r="E29" s="2" t="s">
        <v>24</v>
      </c>
      <c r="F29" s="2" t="s">
        <v>25</v>
      </c>
      <c r="G29" s="2" t="s">
        <v>86</v>
      </c>
      <c r="H29" s="2" t="s">
        <v>132</v>
      </c>
      <c r="I29" s="2" t="s">
        <v>133</v>
      </c>
      <c r="J29" s="2" t="n">
        <v>7</v>
      </c>
      <c r="K29" s="2" t="n">
        <v>20092.34</v>
      </c>
      <c r="L29" s="2" t="s">
        <v>57</v>
      </c>
      <c r="M29" s="2" t="n">
        <v>4.5</v>
      </c>
    </row>
    <row r="30" customFormat="false" ht="15" hidden="false" customHeight="false" outlineLevel="0" collapsed="false">
      <c r="A30" s="2" t="s">
        <v>134</v>
      </c>
      <c r="B30" s="2" t="n">
        <v>65</v>
      </c>
      <c r="C30" s="2" t="s">
        <v>30</v>
      </c>
      <c r="D30" s="2" t="s">
        <v>64</v>
      </c>
      <c r="E30" s="2" t="s">
        <v>53</v>
      </c>
      <c r="F30" s="2" t="s">
        <v>54</v>
      </c>
      <c r="G30" s="2" t="s">
        <v>26</v>
      </c>
      <c r="H30" s="2" t="s">
        <v>135</v>
      </c>
      <c r="I30" s="2" t="s">
        <v>136</v>
      </c>
      <c r="J30" s="2" t="n">
        <v>1</v>
      </c>
      <c r="K30" s="2" t="n">
        <v>2665.44</v>
      </c>
      <c r="L30" s="2" t="s">
        <v>21</v>
      </c>
      <c r="M30" s="2" t="n">
        <v>3.6</v>
      </c>
    </row>
    <row r="31" customFormat="false" ht="15" hidden="false" customHeight="false" outlineLevel="0" collapsed="false">
      <c r="A31" s="2" t="s">
        <v>137</v>
      </c>
      <c r="B31" s="2" t="n">
        <v>31</v>
      </c>
      <c r="C31" s="2" t="s">
        <v>14</v>
      </c>
      <c r="D31" s="2" t="s">
        <v>15</v>
      </c>
      <c r="E31" s="2" t="s">
        <v>42</v>
      </c>
      <c r="F31" s="2" t="s">
        <v>69</v>
      </c>
      <c r="G31" s="2" t="s">
        <v>48</v>
      </c>
      <c r="H31" s="2" t="s">
        <v>138</v>
      </c>
      <c r="I31" s="2" t="s">
        <v>139</v>
      </c>
      <c r="J31" s="2" t="n">
        <v>5</v>
      </c>
      <c r="K31" s="2" t="n">
        <v>11646.09</v>
      </c>
      <c r="L31" s="2" t="s">
        <v>21</v>
      </c>
      <c r="M31" s="2" t="n">
        <v>3</v>
      </c>
    </row>
    <row r="32" customFormat="false" ht="15" hidden="false" customHeight="false" outlineLevel="0" collapsed="false">
      <c r="A32" s="2" t="s">
        <v>140</v>
      </c>
      <c r="B32" s="2" t="n">
        <v>51</v>
      </c>
      <c r="C32" s="2" t="s">
        <v>30</v>
      </c>
      <c r="D32" s="2" t="s">
        <v>15</v>
      </c>
      <c r="E32" s="2" t="s">
        <v>42</v>
      </c>
      <c r="F32" s="2" t="s">
        <v>69</v>
      </c>
      <c r="G32" s="2" t="s">
        <v>48</v>
      </c>
      <c r="H32" s="2" t="s">
        <v>141</v>
      </c>
      <c r="I32" s="2" t="s">
        <v>142</v>
      </c>
      <c r="J32" s="2" t="n">
        <v>7</v>
      </c>
      <c r="K32" s="2" t="n">
        <v>11544.1</v>
      </c>
      <c r="L32" s="2" t="s">
        <v>21</v>
      </c>
      <c r="M32" s="2" t="n">
        <v>3.3</v>
      </c>
    </row>
    <row r="33" customFormat="false" ht="15" hidden="false" customHeight="false" outlineLevel="0" collapsed="false">
      <c r="A33" s="2" t="s">
        <v>143</v>
      </c>
      <c r="B33" s="2" t="n">
        <v>34</v>
      </c>
      <c r="C33" s="2" t="s">
        <v>30</v>
      </c>
      <c r="D33" s="2" t="s">
        <v>64</v>
      </c>
      <c r="E33" s="2" t="s">
        <v>37</v>
      </c>
      <c r="F33" s="2" t="s">
        <v>38</v>
      </c>
      <c r="G33" s="2" t="s">
        <v>26</v>
      </c>
      <c r="H33" s="2" t="s">
        <v>144</v>
      </c>
      <c r="I33" s="2" t="s">
        <v>145</v>
      </c>
      <c r="J33" s="2" t="n">
        <v>4</v>
      </c>
      <c r="K33" s="2" t="n">
        <v>7167.3</v>
      </c>
      <c r="L33" s="2" t="s">
        <v>21</v>
      </c>
      <c r="M33" s="2" t="n">
        <v>4.7</v>
      </c>
    </row>
    <row r="34" customFormat="false" ht="15" hidden="false" customHeight="false" outlineLevel="0" collapsed="false">
      <c r="A34" s="2" t="s">
        <v>146</v>
      </c>
      <c r="B34" s="2" t="n">
        <v>87</v>
      </c>
      <c r="C34" s="2" t="s">
        <v>14</v>
      </c>
      <c r="D34" s="2" t="s">
        <v>15</v>
      </c>
      <c r="E34" s="2" t="s">
        <v>24</v>
      </c>
      <c r="F34" s="2" t="s">
        <v>147</v>
      </c>
      <c r="G34" s="2" t="s">
        <v>77</v>
      </c>
      <c r="H34" s="2" t="s">
        <v>148</v>
      </c>
      <c r="I34" s="2" t="s">
        <v>149</v>
      </c>
      <c r="J34" s="2" t="n">
        <v>6</v>
      </c>
      <c r="K34" s="2" t="n">
        <v>20159.24</v>
      </c>
      <c r="L34" s="2" t="s">
        <v>57</v>
      </c>
      <c r="M34" s="2" t="n">
        <v>3.7</v>
      </c>
    </row>
    <row r="35" customFormat="false" ht="15" hidden="false" customHeight="false" outlineLevel="0" collapsed="false">
      <c r="A35" s="2" t="s">
        <v>150</v>
      </c>
      <c r="B35" s="2" t="n">
        <v>23</v>
      </c>
      <c r="C35" s="2" t="s">
        <v>30</v>
      </c>
      <c r="D35" s="2" t="s">
        <v>64</v>
      </c>
      <c r="E35" s="2" t="s">
        <v>37</v>
      </c>
      <c r="F35" s="2" t="s">
        <v>151</v>
      </c>
      <c r="G35" s="2" t="s">
        <v>48</v>
      </c>
      <c r="H35" s="2" t="s">
        <v>20</v>
      </c>
      <c r="I35" s="2" t="s">
        <v>152</v>
      </c>
      <c r="J35" s="2" t="n">
        <v>2</v>
      </c>
      <c r="K35" s="2" t="n">
        <v>7420.7</v>
      </c>
      <c r="L35" s="2" t="s">
        <v>57</v>
      </c>
      <c r="M35" s="2" t="n">
        <v>4.8</v>
      </c>
    </row>
    <row r="36" customFormat="false" ht="15" hidden="false" customHeight="false" outlineLevel="0" collapsed="false">
      <c r="A36" s="2" t="s">
        <v>153</v>
      </c>
      <c r="B36" s="2" t="n">
        <v>48</v>
      </c>
      <c r="C36" s="2" t="s">
        <v>14</v>
      </c>
      <c r="D36" s="2" t="s">
        <v>64</v>
      </c>
      <c r="E36" s="2" t="s">
        <v>53</v>
      </c>
      <c r="F36" s="2" t="s">
        <v>154</v>
      </c>
      <c r="G36" s="2" t="s">
        <v>18</v>
      </c>
      <c r="H36" s="2" t="s">
        <v>155</v>
      </c>
      <c r="I36" s="2" t="s">
        <v>156</v>
      </c>
      <c r="J36" s="2" t="n">
        <v>1</v>
      </c>
      <c r="K36" s="2" t="n">
        <v>3733.23</v>
      </c>
      <c r="L36" s="2" t="s">
        <v>21</v>
      </c>
      <c r="M36" s="2" t="n">
        <v>3</v>
      </c>
    </row>
    <row r="37" customFormat="false" ht="15" hidden="false" customHeight="false" outlineLevel="0" collapsed="false">
      <c r="A37" s="2" t="s">
        <v>157</v>
      </c>
      <c r="B37" s="2" t="n">
        <v>49</v>
      </c>
      <c r="C37" s="2" t="s">
        <v>30</v>
      </c>
      <c r="D37" s="2" t="s">
        <v>64</v>
      </c>
      <c r="E37" s="2" t="s">
        <v>37</v>
      </c>
      <c r="F37" s="2" t="s">
        <v>158</v>
      </c>
      <c r="G37" s="2" t="s">
        <v>77</v>
      </c>
      <c r="H37" s="2" t="s">
        <v>159</v>
      </c>
      <c r="I37" s="2" t="s">
        <v>160</v>
      </c>
      <c r="J37" s="2" t="n">
        <v>5</v>
      </c>
      <c r="K37" s="2" t="n">
        <v>6894.41</v>
      </c>
      <c r="L37" s="2" t="s">
        <v>57</v>
      </c>
      <c r="M37" s="2" t="n">
        <v>3</v>
      </c>
    </row>
    <row r="38" customFormat="false" ht="15" hidden="false" customHeight="false" outlineLevel="0" collapsed="false">
      <c r="A38" s="2" t="s">
        <v>161</v>
      </c>
      <c r="B38" s="2" t="n">
        <v>47</v>
      </c>
      <c r="C38" s="2" t="s">
        <v>14</v>
      </c>
      <c r="D38" s="2" t="s">
        <v>31</v>
      </c>
      <c r="E38" s="2" t="s">
        <v>37</v>
      </c>
      <c r="F38" s="2" t="s">
        <v>151</v>
      </c>
      <c r="G38" s="2" t="s">
        <v>77</v>
      </c>
      <c r="H38" s="2" t="s">
        <v>162</v>
      </c>
      <c r="I38" s="2" t="s">
        <v>156</v>
      </c>
      <c r="J38" s="2" t="n">
        <v>5</v>
      </c>
      <c r="K38" s="2" t="n">
        <v>7425.41</v>
      </c>
      <c r="L38" s="2" t="s">
        <v>97</v>
      </c>
      <c r="M38" s="2" t="n">
        <v>3.8</v>
      </c>
    </row>
    <row r="39" customFormat="false" ht="15" hidden="false" customHeight="false" outlineLevel="0" collapsed="false">
      <c r="A39" s="2" t="s">
        <v>163</v>
      </c>
      <c r="B39" s="2" t="n">
        <v>62</v>
      </c>
      <c r="C39" s="2" t="s">
        <v>30</v>
      </c>
      <c r="D39" s="2" t="s">
        <v>23</v>
      </c>
      <c r="E39" s="2" t="s">
        <v>59</v>
      </c>
      <c r="F39" s="2" t="s">
        <v>60</v>
      </c>
      <c r="G39" s="2" t="s">
        <v>86</v>
      </c>
      <c r="H39" s="2" t="s">
        <v>164</v>
      </c>
      <c r="I39" s="2" t="s">
        <v>165</v>
      </c>
      <c r="J39" s="2" t="n">
        <v>8</v>
      </c>
      <c r="K39" s="2" t="n">
        <v>13140.38</v>
      </c>
      <c r="L39" s="2" t="s">
        <v>21</v>
      </c>
      <c r="M39" s="2" t="n">
        <v>4</v>
      </c>
    </row>
    <row r="40" customFormat="false" ht="15" hidden="false" customHeight="false" outlineLevel="0" collapsed="false">
      <c r="A40" s="2" t="s">
        <v>166</v>
      </c>
      <c r="B40" s="2" t="n">
        <v>58</v>
      </c>
      <c r="C40" s="2" t="s">
        <v>30</v>
      </c>
      <c r="D40" s="2" t="s">
        <v>23</v>
      </c>
      <c r="E40" s="2" t="s">
        <v>24</v>
      </c>
      <c r="F40" s="2" t="s">
        <v>25</v>
      </c>
      <c r="G40" s="2" t="s">
        <v>77</v>
      </c>
      <c r="H40" s="2" t="s">
        <v>167</v>
      </c>
      <c r="I40" s="2" t="s">
        <v>168</v>
      </c>
      <c r="J40" s="2" t="n">
        <v>9</v>
      </c>
      <c r="K40" s="2" t="n">
        <v>18932.37</v>
      </c>
      <c r="L40" s="2" t="s">
        <v>21</v>
      </c>
      <c r="M40" s="2" t="n">
        <v>3.5</v>
      </c>
    </row>
    <row r="41" customFormat="false" ht="15" hidden="false" customHeight="false" outlineLevel="0" collapsed="false">
      <c r="A41" s="2" t="s">
        <v>169</v>
      </c>
      <c r="B41" s="2" t="n">
        <v>84</v>
      </c>
      <c r="C41" s="2" t="s">
        <v>14</v>
      </c>
      <c r="D41" s="2" t="s">
        <v>15</v>
      </c>
      <c r="E41" s="2" t="s">
        <v>53</v>
      </c>
      <c r="F41" s="2" t="s">
        <v>154</v>
      </c>
      <c r="G41" s="2" t="s">
        <v>48</v>
      </c>
      <c r="H41" s="2" t="s">
        <v>170</v>
      </c>
      <c r="I41" s="2" t="s">
        <v>171</v>
      </c>
      <c r="J41" s="2" t="n">
        <v>1</v>
      </c>
      <c r="K41" s="2" t="n">
        <v>2939.97</v>
      </c>
      <c r="L41" s="2" t="s">
        <v>21</v>
      </c>
      <c r="M41" s="2" t="n">
        <v>4.4</v>
      </c>
    </row>
    <row r="42" customFormat="false" ht="15" hidden="false" customHeight="false" outlineLevel="0" collapsed="false">
      <c r="A42" s="2" t="s">
        <v>172</v>
      </c>
      <c r="B42" s="2" t="n">
        <v>70</v>
      </c>
      <c r="C42" s="2" t="s">
        <v>30</v>
      </c>
      <c r="D42" s="2" t="s">
        <v>52</v>
      </c>
      <c r="E42" s="2" t="s">
        <v>37</v>
      </c>
      <c r="F42" s="2" t="s">
        <v>173</v>
      </c>
      <c r="G42" s="2" t="s">
        <v>26</v>
      </c>
      <c r="H42" s="2" t="s">
        <v>148</v>
      </c>
      <c r="I42" s="2" t="s">
        <v>174</v>
      </c>
      <c r="J42" s="2" t="n">
        <v>4</v>
      </c>
      <c r="K42" s="2" t="n">
        <v>7681.29</v>
      </c>
      <c r="L42" s="2" t="s">
        <v>21</v>
      </c>
      <c r="M42" s="2" t="n">
        <v>4.6</v>
      </c>
    </row>
    <row r="43" customFormat="false" ht="15" hidden="false" customHeight="false" outlineLevel="0" collapsed="false">
      <c r="A43" s="2" t="s">
        <v>175</v>
      </c>
      <c r="B43" s="2" t="n">
        <v>40</v>
      </c>
      <c r="C43" s="2" t="s">
        <v>30</v>
      </c>
      <c r="D43" s="2" t="s">
        <v>52</v>
      </c>
      <c r="E43" s="2" t="s">
        <v>24</v>
      </c>
      <c r="F43" s="2" t="s">
        <v>25</v>
      </c>
      <c r="G43" s="2" t="s">
        <v>33</v>
      </c>
      <c r="H43" s="2" t="s">
        <v>118</v>
      </c>
      <c r="I43" s="2" t="s">
        <v>176</v>
      </c>
      <c r="J43" s="2" t="n">
        <v>8</v>
      </c>
      <c r="K43" s="2" t="n">
        <v>23302.15</v>
      </c>
      <c r="L43" s="2" t="s">
        <v>21</v>
      </c>
      <c r="M43" s="2" t="n">
        <v>3.1</v>
      </c>
    </row>
    <row r="44" customFormat="false" ht="15" hidden="false" customHeight="false" outlineLevel="0" collapsed="false">
      <c r="A44" s="2" t="s">
        <v>177</v>
      </c>
      <c r="B44" s="2" t="n">
        <v>45</v>
      </c>
      <c r="C44" s="2" t="s">
        <v>30</v>
      </c>
      <c r="D44" s="2" t="s">
        <v>64</v>
      </c>
      <c r="E44" s="2" t="s">
        <v>37</v>
      </c>
      <c r="F44" s="2" t="s">
        <v>158</v>
      </c>
      <c r="G44" s="2" t="s">
        <v>33</v>
      </c>
      <c r="H44" s="2" t="s">
        <v>178</v>
      </c>
      <c r="I44" s="2" t="s">
        <v>179</v>
      </c>
      <c r="J44" s="2" t="n">
        <v>6</v>
      </c>
      <c r="K44" s="2" t="n">
        <v>7112.39</v>
      </c>
      <c r="L44" s="2" t="s">
        <v>21</v>
      </c>
      <c r="M44" s="2" t="n">
        <v>2.7</v>
      </c>
    </row>
    <row r="45" customFormat="false" ht="15" hidden="false" customHeight="false" outlineLevel="0" collapsed="false">
      <c r="A45" s="2" t="s">
        <v>180</v>
      </c>
      <c r="B45" s="2" t="n">
        <v>48</v>
      </c>
      <c r="C45" s="2" t="s">
        <v>30</v>
      </c>
      <c r="D45" s="2" t="s">
        <v>64</v>
      </c>
      <c r="E45" s="2" t="s">
        <v>16</v>
      </c>
      <c r="F45" s="2" t="s">
        <v>17</v>
      </c>
      <c r="G45" s="2" t="s">
        <v>86</v>
      </c>
      <c r="H45" s="2" t="s">
        <v>181</v>
      </c>
      <c r="I45" s="2" t="s">
        <v>182</v>
      </c>
      <c r="J45" s="2" t="n">
        <v>4</v>
      </c>
      <c r="K45" s="2" t="n">
        <v>10434.18</v>
      </c>
      <c r="L45" s="2" t="s">
        <v>57</v>
      </c>
      <c r="M45" s="2" t="n">
        <v>4.2</v>
      </c>
    </row>
    <row r="46" customFormat="false" ht="15" hidden="false" customHeight="false" outlineLevel="0" collapsed="false">
      <c r="A46" s="2" t="s">
        <v>183</v>
      </c>
      <c r="B46" s="2" t="n">
        <v>42</v>
      </c>
      <c r="C46" s="2" t="s">
        <v>30</v>
      </c>
      <c r="D46" s="2" t="s">
        <v>52</v>
      </c>
      <c r="E46" s="2" t="s">
        <v>53</v>
      </c>
      <c r="F46" s="2" t="s">
        <v>76</v>
      </c>
      <c r="G46" s="2" t="s">
        <v>18</v>
      </c>
      <c r="H46" s="2" t="s">
        <v>184</v>
      </c>
      <c r="I46" s="2" t="s">
        <v>185</v>
      </c>
      <c r="J46" s="2" t="n">
        <v>2</v>
      </c>
      <c r="K46" s="2" t="n">
        <v>3483.52</v>
      </c>
      <c r="L46" s="2" t="s">
        <v>57</v>
      </c>
      <c r="M46" s="2" t="n">
        <v>2.3</v>
      </c>
    </row>
    <row r="47" customFormat="false" ht="15" hidden="false" customHeight="false" outlineLevel="0" collapsed="false">
      <c r="A47" s="2" t="s">
        <v>186</v>
      </c>
      <c r="B47" s="2" t="n">
        <v>31</v>
      </c>
      <c r="C47" s="2" t="s">
        <v>30</v>
      </c>
      <c r="D47" s="2" t="s">
        <v>64</v>
      </c>
      <c r="E47" s="2" t="s">
        <v>16</v>
      </c>
      <c r="F47" s="2" t="s">
        <v>32</v>
      </c>
      <c r="G47" s="2" t="s">
        <v>86</v>
      </c>
      <c r="H47" s="2" t="s">
        <v>187</v>
      </c>
      <c r="I47" s="2" t="s">
        <v>188</v>
      </c>
      <c r="J47" s="2" t="n">
        <v>3</v>
      </c>
      <c r="K47" s="2" t="n">
        <v>11196.75</v>
      </c>
      <c r="L47" s="2" t="s">
        <v>21</v>
      </c>
      <c r="M47" s="2" t="n">
        <v>4</v>
      </c>
    </row>
    <row r="48" customFormat="false" ht="15" hidden="false" customHeight="false" outlineLevel="0" collapsed="false">
      <c r="A48" s="2" t="s">
        <v>189</v>
      </c>
      <c r="B48" s="2" t="n">
        <v>89</v>
      </c>
      <c r="C48" s="2" t="s">
        <v>30</v>
      </c>
      <c r="D48" s="2" t="s">
        <v>52</v>
      </c>
      <c r="E48" s="2" t="s">
        <v>24</v>
      </c>
      <c r="F48" s="2" t="s">
        <v>94</v>
      </c>
      <c r="G48" s="2" t="s">
        <v>26</v>
      </c>
      <c r="H48" s="2" t="s">
        <v>190</v>
      </c>
      <c r="I48" s="2" t="s">
        <v>191</v>
      </c>
      <c r="J48" s="2" t="n">
        <v>6</v>
      </c>
      <c r="K48" s="2" t="n">
        <v>21352.96</v>
      </c>
      <c r="L48" s="2" t="s">
        <v>21</v>
      </c>
      <c r="M48" s="2" t="n">
        <v>2.8</v>
      </c>
    </row>
    <row r="49" customFormat="false" ht="15" hidden="false" customHeight="false" outlineLevel="0" collapsed="false">
      <c r="A49" s="2" t="s">
        <v>192</v>
      </c>
      <c r="B49" s="2" t="n">
        <v>51</v>
      </c>
      <c r="C49" s="2" t="s">
        <v>14</v>
      </c>
      <c r="D49" s="2" t="s">
        <v>15</v>
      </c>
      <c r="E49" s="2" t="s">
        <v>24</v>
      </c>
      <c r="F49" s="2" t="s">
        <v>94</v>
      </c>
      <c r="G49" s="2" t="s">
        <v>48</v>
      </c>
      <c r="H49" s="2" t="s">
        <v>193</v>
      </c>
      <c r="I49" s="2" t="s">
        <v>194</v>
      </c>
      <c r="J49" s="2" t="n">
        <v>7</v>
      </c>
      <c r="K49" s="2" t="n">
        <v>18990.5</v>
      </c>
      <c r="L49" s="2" t="s">
        <v>21</v>
      </c>
      <c r="M49" s="2" t="n">
        <v>3.4</v>
      </c>
    </row>
    <row r="50" customFormat="false" ht="15" hidden="false" customHeight="false" outlineLevel="0" collapsed="false">
      <c r="A50" s="2" t="s">
        <v>195</v>
      </c>
      <c r="B50" s="2" t="n">
        <v>87</v>
      </c>
      <c r="C50" s="2" t="s">
        <v>14</v>
      </c>
      <c r="D50" s="2" t="s">
        <v>64</v>
      </c>
      <c r="E50" s="2" t="s">
        <v>16</v>
      </c>
      <c r="F50" s="2" t="s">
        <v>17</v>
      </c>
      <c r="G50" s="2" t="s">
        <v>77</v>
      </c>
      <c r="H50" s="2" t="s">
        <v>196</v>
      </c>
      <c r="I50" s="2" t="s">
        <v>197</v>
      </c>
      <c r="J50" s="2" t="n">
        <v>6</v>
      </c>
      <c r="K50" s="2" t="n">
        <v>10172.97</v>
      </c>
      <c r="L50" s="2" t="s">
        <v>21</v>
      </c>
      <c r="M50" s="2" t="n">
        <v>3.9</v>
      </c>
    </row>
    <row r="51" customFormat="false" ht="15" hidden="false" customHeight="false" outlineLevel="0" collapsed="false">
      <c r="A51" s="2" t="s">
        <v>198</v>
      </c>
      <c r="B51" s="2" t="n">
        <v>60</v>
      </c>
      <c r="C51" s="2" t="s">
        <v>30</v>
      </c>
      <c r="D51" s="2" t="s">
        <v>52</v>
      </c>
      <c r="E51" s="2" t="s">
        <v>42</v>
      </c>
      <c r="F51" s="2" t="s">
        <v>43</v>
      </c>
      <c r="G51" s="2" t="s">
        <v>77</v>
      </c>
      <c r="H51" s="2" t="s">
        <v>199</v>
      </c>
      <c r="I51" s="2" t="s">
        <v>200</v>
      </c>
      <c r="J51" s="2" t="n">
        <v>7</v>
      </c>
      <c r="K51" s="2" t="n">
        <v>10032.42</v>
      </c>
      <c r="L51" s="2" t="s">
        <v>21</v>
      </c>
      <c r="M51" s="2" t="n">
        <v>4.2</v>
      </c>
    </row>
    <row r="52" customFormat="false" ht="15" hidden="false" customHeight="false" outlineLevel="0" collapsed="false">
      <c r="A52" s="2" t="s">
        <v>201</v>
      </c>
      <c r="B52" s="2" t="n">
        <v>66</v>
      </c>
      <c r="C52" s="2" t="s">
        <v>30</v>
      </c>
      <c r="D52" s="2" t="s">
        <v>31</v>
      </c>
      <c r="E52" s="2" t="s">
        <v>59</v>
      </c>
      <c r="F52" s="2" t="s">
        <v>202</v>
      </c>
      <c r="G52" s="2" t="s">
        <v>77</v>
      </c>
      <c r="H52" s="2" t="s">
        <v>203</v>
      </c>
      <c r="I52" s="2" t="s">
        <v>204</v>
      </c>
      <c r="J52" s="2" t="n">
        <v>3</v>
      </c>
      <c r="K52" s="2" t="n">
        <v>5848.28</v>
      </c>
      <c r="L52" s="2" t="s">
        <v>97</v>
      </c>
      <c r="M52" s="2" t="n">
        <v>3.4</v>
      </c>
    </row>
    <row r="53" customFormat="false" ht="15" hidden="false" customHeight="false" outlineLevel="0" collapsed="false">
      <c r="A53" s="2" t="s">
        <v>205</v>
      </c>
      <c r="B53" s="2" t="n">
        <v>46</v>
      </c>
      <c r="C53" s="2" t="s">
        <v>30</v>
      </c>
      <c r="D53" s="2" t="s">
        <v>64</v>
      </c>
      <c r="E53" s="2" t="s">
        <v>59</v>
      </c>
      <c r="F53" s="2" t="s">
        <v>85</v>
      </c>
      <c r="G53" s="2" t="s">
        <v>77</v>
      </c>
      <c r="H53" s="2" t="s">
        <v>206</v>
      </c>
      <c r="I53" s="2" t="s">
        <v>207</v>
      </c>
      <c r="J53" s="2" t="n">
        <v>3</v>
      </c>
      <c r="K53" s="2" t="n">
        <v>9300.04</v>
      </c>
      <c r="L53" s="2" t="s">
        <v>97</v>
      </c>
      <c r="M53" s="2" t="n">
        <v>3.4</v>
      </c>
    </row>
    <row r="54" customFormat="false" ht="15" hidden="false" customHeight="false" outlineLevel="0" collapsed="false">
      <c r="A54" s="2" t="s">
        <v>208</v>
      </c>
      <c r="B54" s="2" t="n">
        <v>34</v>
      </c>
      <c r="C54" s="2" t="s">
        <v>14</v>
      </c>
      <c r="D54" s="2" t="s">
        <v>52</v>
      </c>
      <c r="E54" s="2" t="s">
        <v>24</v>
      </c>
      <c r="F54" s="2" t="s">
        <v>25</v>
      </c>
      <c r="G54" s="2" t="s">
        <v>86</v>
      </c>
      <c r="H54" s="2" t="s">
        <v>209</v>
      </c>
      <c r="I54" s="2" t="s">
        <v>130</v>
      </c>
      <c r="J54" s="2" t="n">
        <v>3</v>
      </c>
      <c r="K54" s="2" t="n">
        <v>10771.54</v>
      </c>
      <c r="L54" s="2" t="s">
        <v>21</v>
      </c>
      <c r="M54" s="2" t="n">
        <v>4.3</v>
      </c>
    </row>
    <row r="55" customFormat="false" ht="15" hidden="false" customHeight="false" outlineLevel="0" collapsed="false">
      <c r="A55" s="2" t="s">
        <v>210</v>
      </c>
      <c r="B55" s="2" t="n">
        <v>51</v>
      </c>
      <c r="C55" s="2" t="s">
        <v>30</v>
      </c>
      <c r="D55" s="2" t="s">
        <v>15</v>
      </c>
      <c r="E55" s="2" t="s">
        <v>16</v>
      </c>
      <c r="F55" s="2" t="s">
        <v>32</v>
      </c>
      <c r="G55" s="2" t="s">
        <v>33</v>
      </c>
      <c r="H55" s="2" t="s">
        <v>211</v>
      </c>
      <c r="I55" s="2" t="s">
        <v>212</v>
      </c>
      <c r="J55" s="2" t="n">
        <v>4</v>
      </c>
      <c r="K55" s="2" t="n">
        <v>7397.56</v>
      </c>
      <c r="L55" s="2" t="s">
        <v>97</v>
      </c>
      <c r="M55" s="2" t="n">
        <v>3.9</v>
      </c>
    </row>
    <row r="56" customFormat="false" ht="15" hidden="false" customHeight="false" outlineLevel="0" collapsed="false">
      <c r="A56" s="2" t="s">
        <v>213</v>
      </c>
      <c r="B56" s="2" t="n">
        <v>28</v>
      </c>
      <c r="C56" s="2" t="s">
        <v>30</v>
      </c>
      <c r="D56" s="2" t="s">
        <v>31</v>
      </c>
      <c r="E56" s="2" t="s">
        <v>37</v>
      </c>
      <c r="F56" s="2" t="s">
        <v>158</v>
      </c>
      <c r="G56" s="2" t="s">
        <v>33</v>
      </c>
      <c r="H56" s="2" t="s">
        <v>214</v>
      </c>
      <c r="I56" s="2" t="s">
        <v>215</v>
      </c>
      <c r="J56" s="2" t="n">
        <v>3</v>
      </c>
      <c r="K56" s="2" t="n">
        <v>5574.18</v>
      </c>
      <c r="L56" s="2" t="s">
        <v>21</v>
      </c>
      <c r="M56" s="2" t="n">
        <v>2.7</v>
      </c>
    </row>
    <row r="57" customFormat="false" ht="15" hidden="false" customHeight="false" outlineLevel="0" collapsed="false">
      <c r="A57" s="2" t="s">
        <v>216</v>
      </c>
      <c r="B57" s="2" t="n">
        <v>21</v>
      </c>
      <c r="C57" s="2" t="s">
        <v>14</v>
      </c>
      <c r="D57" s="2" t="s">
        <v>64</v>
      </c>
      <c r="E57" s="2" t="s">
        <v>42</v>
      </c>
      <c r="F57" s="2" t="s">
        <v>43</v>
      </c>
      <c r="G57" s="2" t="s">
        <v>18</v>
      </c>
      <c r="H57" s="2" t="s">
        <v>217</v>
      </c>
      <c r="I57" s="2" t="s">
        <v>40</v>
      </c>
      <c r="J57" s="2" t="n">
        <v>3</v>
      </c>
      <c r="K57" s="2" t="n">
        <v>9838.56</v>
      </c>
      <c r="L57" s="2" t="s">
        <v>119</v>
      </c>
      <c r="M57" s="2"/>
    </row>
    <row r="58" customFormat="false" ht="15" hidden="false" customHeight="false" outlineLevel="0" collapsed="false">
      <c r="A58" s="2" t="s">
        <v>218</v>
      </c>
      <c r="B58" s="2" t="n">
        <v>77</v>
      </c>
      <c r="C58" s="2" t="s">
        <v>30</v>
      </c>
      <c r="D58" s="2" t="s">
        <v>15</v>
      </c>
      <c r="E58" s="2" t="s">
        <v>16</v>
      </c>
      <c r="F58" s="2" t="s">
        <v>90</v>
      </c>
      <c r="G58" s="2" t="s">
        <v>18</v>
      </c>
      <c r="H58" s="2" t="s">
        <v>219</v>
      </c>
      <c r="I58" s="2" t="s">
        <v>220</v>
      </c>
      <c r="J58" s="2" t="n">
        <v>5</v>
      </c>
      <c r="K58" s="2" t="n">
        <v>9406.33</v>
      </c>
      <c r="L58" s="2" t="s">
        <v>21</v>
      </c>
      <c r="M58" s="2" t="n">
        <v>2.8</v>
      </c>
    </row>
    <row r="59" customFormat="false" ht="15" hidden="false" customHeight="false" outlineLevel="0" collapsed="false">
      <c r="A59" s="2" t="s">
        <v>221</v>
      </c>
      <c r="B59" s="2" t="n">
        <v>68</v>
      </c>
      <c r="C59" s="2" t="s">
        <v>14</v>
      </c>
      <c r="D59" s="2" t="s">
        <v>31</v>
      </c>
      <c r="E59" s="2" t="s">
        <v>24</v>
      </c>
      <c r="F59" s="2" t="s">
        <v>147</v>
      </c>
      <c r="G59" s="2" t="s">
        <v>86</v>
      </c>
      <c r="H59" s="2" t="s">
        <v>222</v>
      </c>
      <c r="I59" s="2" t="s">
        <v>223</v>
      </c>
      <c r="J59" s="2" t="n">
        <v>4</v>
      </c>
      <c r="K59" s="2" t="n">
        <v>17423.11</v>
      </c>
      <c r="L59" s="2" t="s">
        <v>21</v>
      </c>
      <c r="M59" s="2" t="n">
        <v>2.2</v>
      </c>
    </row>
    <row r="60" customFormat="false" ht="15" hidden="false" customHeight="false" outlineLevel="0" collapsed="false">
      <c r="A60" s="2" t="s">
        <v>224</v>
      </c>
      <c r="B60" s="2" t="n">
        <v>33</v>
      </c>
      <c r="C60" s="2" t="s">
        <v>14</v>
      </c>
      <c r="D60" s="2" t="s">
        <v>15</v>
      </c>
      <c r="E60" s="2" t="s">
        <v>24</v>
      </c>
      <c r="F60" s="2" t="s">
        <v>94</v>
      </c>
      <c r="G60" s="2" t="s">
        <v>48</v>
      </c>
      <c r="H60" s="2" t="s">
        <v>225</v>
      </c>
      <c r="I60" s="2" t="s">
        <v>226</v>
      </c>
      <c r="J60" s="2" t="n">
        <v>10</v>
      </c>
      <c r="K60" s="2" t="n">
        <v>20818.97</v>
      </c>
      <c r="L60" s="2" t="s">
        <v>21</v>
      </c>
      <c r="M60" s="2" t="n">
        <v>2.6</v>
      </c>
    </row>
    <row r="61" customFormat="false" ht="15" hidden="false" customHeight="false" outlineLevel="0" collapsed="false">
      <c r="A61" s="2" t="s">
        <v>227</v>
      </c>
      <c r="B61" s="2" t="n">
        <v>73</v>
      </c>
      <c r="C61" s="2" t="s">
        <v>30</v>
      </c>
      <c r="D61" s="2" t="s">
        <v>52</v>
      </c>
      <c r="E61" s="2" t="s">
        <v>37</v>
      </c>
      <c r="F61" s="2" t="s">
        <v>151</v>
      </c>
      <c r="G61" s="2" t="s">
        <v>77</v>
      </c>
      <c r="H61" s="2" t="s">
        <v>228</v>
      </c>
      <c r="I61" s="2" t="s">
        <v>229</v>
      </c>
      <c r="J61" s="2" t="n">
        <v>6</v>
      </c>
      <c r="K61" s="2" t="n">
        <v>7609.91</v>
      </c>
      <c r="L61" s="2" t="s">
        <v>21</v>
      </c>
      <c r="M61" s="2" t="n">
        <v>1.7</v>
      </c>
    </row>
    <row r="62" customFormat="false" ht="15" hidden="false" customHeight="false" outlineLevel="0" collapsed="false">
      <c r="A62" s="2" t="s">
        <v>230</v>
      </c>
      <c r="B62" s="2" t="n">
        <v>86</v>
      </c>
      <c r="C62" s="2" t="s">
        <v>30</v>
      </c>
      <c r="D62" s="2" t="s">
        <v>52</v>
      </c>
      <c r="E62" s="2" t="s">
        <v>53</v>
      </c>
      <c r="F62" s="2" t="s">
        <v>54</v>
      </c>
      <c r="G62" s="2" t="s">
        <v>33</v>
      </c>
      <c r="H62" s="2" t="s">
        <v>194</v>
      </c>
      <c r="I62" s="2" t="s">
        <v>231</v>
      </c>
      <c r="J62" s="2" t="n">
        <v>3</v>
      </c>
      <c r="K62" s="2" t="n">
        <v>4161.8</v>
      </c>
      <c r="L62" s="2" t="s">
        <v>57</v>
      </c>
      <c r="M62" s="2" t="n">
        <v>3.7</v>
      </c>
    </row>
    <row r="63" customFormat="false" ht="15" hidden="false" customHeight="false" outlineLevel="0" collapsed="false">
      <c r="A63" s="2" t="s">
        <v>232</v>
      </c>
      <c r="B63" s="2" t="n">
        <v>66</v>
      </c>
      <c r="C63" s="2" t="s">
        <v>30</v>
      </c>
      <c r="D63" s="2" t="s">
        <v>31</v>
      </c>
      <c r="E63" s="2" t="s">
        <v>53</v>
      </c>
      <c r="F63" s="2" t="s">
        <v>54</v>
      </c>
      <c r="G63" s="2" t="s">
        <v>18</v>
      </c>
      <c r="H63" s="2" t="s">
        <v>233</v>
      </c>
      <c r="I63" s="2" t="s">
        <v>92</v>
      </c>
      <c r="J63" s="2" t="n">
        <v>4</v>
      </c>
      <c r="K63" s="2" t="n">
        <v>5069.81</v>
      </c>
      <c r="L63" s="2" t="s">
        <v>21</v>
      </c>
      <c r="M63" s="2" t="n">
        <v>4.8</v>
      </c>
    </row>
    <row r="64" customFormat="false" ht="15" hidden="false" customHeight="false" outlineLevel="0" collapsed="false">
      <c r="A64" s="2" t="s">
        <v>234</v>
      </c>
      <c r="B64" s="2" t="n">
        <v>53</v>
      </c>
      <c r="C64" s="2" t="s">
        <v>14</v>
      </c>
      <c r="D64" s="2" t="s">
        <v>23</v>
      </c>
      <c r="E64" s="2" t="s">
        <v>16</v>
      </c>
      <c r="F64" s="2" t="s">
        <v>90</v>
      </c>
      <c r="G64" s="2" t="s">
        <v>18</v>
      </c>
      <c r="H64" s="2" t="s">
        <v>235</v>
      </c>
      <c r="I64" s="2" t="s">
        <v>236</v>
      </c>
      <c r="J64" s="2" t="n">
        <v>1</v>
      </c>
      <c r="K64" s="2" t="n">
        <v>7773.98</v>
      </c>
      <c r="L64" s="2" t="s">
        <v>21</v>
      </c>
      <c r="M64" s="2" t="n">
        <v>3.3</v>
      </c>
    </row>
    <row r="65" customFormat="false" ht="15" hidden="false" customHeight="false" outlineLevel="0" collapsed="false">
      <c r="A65" s="2" t="s">
        <v>237</v>
      </c>
      <c r="B65" s="2" t="n">
        <v>20</v>
      </c>
      <c r="C65" s="2" t="s">
        <v>14</v>
      </c>
      <c r="D65" s="2" t="s">
        <v>15</v>
      </c>
      <c r="E65" s="2" t="s">
        <v>16</v>
      </c>
      <c r="F65" s="2" t="s">
        <v>32</v>
      </c>
      <c r="G65" s="2" t="s">
        <v>48</v>
      </c>
      <c r="H65" s="2" t="s">
        <v>238</v>
      </c>
      <c r="I65" s="2" t="s">
        <v>239</v>
      </c>
      <c r="J65" s="2" t="n">
        <v>1</v>
      </c>
      <c r="K65" s="2" t="n">
        <v>6942.59</v>
      </c>
      <c r="L65" s="2" t="s">
        <v>21</v>
      </c>
      <c r="M65" s="2" t="n">
        <v>4.6</v>
      </c>
    </row>
    <row r="66" customFormat="false" ht="15" hidden="false" customHeight="false" outlineLevel="0" collapsed="false">
      <c r="A66" s="2" t="s">
        <v>240</v>
      </c>
      <c r="B66" s="2" t="n">
        <v>85</v>
      </c>
      <c r="C66" s="2" t="s">
        <v>30</v>
      </c>
      <c r="D66" s="2" t="s">
        <v>52</v>
      </c>
      <c r="E66" s="2" t="s">
        <v>37</v>
      </c>
      <c r="F66" s="2" t="s">
        <v>173</v>
      </c>
      <c r="G66" s="2" t="s">
        <v>33</v>
      </c>
      <c r="H66" s="2" t="s">
        <v>241</v>
      </c>
      <c r="I66" s="2" t="s">
        <v>242</v>
      </c>
      <c r="J66" s="2" t="n">
        <v>4</v>
      </c>
      <c r="K66" s="2" t="n">
        <v>7369.75</v>
      </c>
      <c r="L66" s="2" t="s">
        <v>21</v>
      </c>
      <c r="M66" s="2" t="n">
        <v>3.5</v>
      </c>
    </row>
    <row r="67" customFormat="false" ht="15" hidden="false" customHeight="false" outlineLevel="0" collapsed="false">
      <c r="A67" s="2" t="s">
        <v>243</v>
      </c>
      <c r="B67" s="2" t="n">
        <v>86</v>
      </c>
      <c r="C67" s="2" t="s">
        <v>14</v>
      </c>
      <c r="D67" s="2" t="s">
        <v>64</v>
      </c>
      <c r="E67" s="2" t="s">
        <v>16</v>
      </c>
      <c r="F67" s="2" t="s">
        <v>32</v>
      </c>
      <c r="G67" s="2" t="s">
        <v>33</v>
      </c>
      <c r="H67" s="2" t="s">
        <v>244</v>
      </c>
      <c r="I67" s="2" t="s">
        <v>245</v>
      </c>
      <c r="J67" s="2" t="n">
        <v>3</v>
      </c>
      <c r="K67" s="2" t="n">
        <v>10137.25</v>
      </c>
      <c r="L67" s="2" t="s">
        <v>21</v>
      </c>
      <c r="M67" s="2" t="n">
        <v>3.5</v>
      </c>
    </row>
    <row r="68" customFormat="false" ht="15" hidden="false" customHeight="false" outlineLevel="0" collapsed="false">
      <c r="A68" s="2" t="s">
        <v>246</v>
      </c>
      <c r="B68" s="2" t="n">
        <v>30</v>
      </c>
      <c r="C68" s="2" t="s">
        <v>14</v>
      </c>
      <c r="D68" s="2" t="s">
        <v>15</v>
      </c>
      <c r="E68" s="2" t="s">
        <v>16</v>
      </c>
      <c r="F68" s="2" t="s">
        <v>47</v>
      </c>
      <c r="G68" s="2" t="s">
        <v>18</v>
      </c>
      <c r="H68" s="2" t="s">
        <v>247</v>
      </c>
      <c r="I68" s="2" t="s">
        <v>248</v>
      </c>
      <c r="J68" s="2" t="n">
        <v>5</v>
      </c>
      <c r="K68" s="2" t="n">
        <v>9358.01</v>
      </c>
      <c r="L68" s="2" t="s">
        <v>21</v>
      </c>
      <c r="M68" s="2" t="n">
        <v>4.4</v>
      </c>
    </row>
    <row r="69" customFormat="false" ht="15" hidden="false" customHeight="false" outlineLevel="0" collapsed="false">
      <c r="A69" s="2" t="s">
        <v>249</v>
      </c>
      <c r="B69" s="2" t="n">
        <v>34</v>
      </c>
      <c r="C69" s="2" t="s">
        <v>30</v>
      </c>
      <c r="D69" s="2" t="s">
        <v>31</v>
      </c>
      <c r="E69" s="2" t="s">
        <v>42</v>
      </c>
      <c r="F69" s="2" t="s">
        <v>81</v>
      </c>
      <c r="G69" s="2" t="s">
        <v>77</v>
      </c>
      <c r="H69" s="2" t="s">
        <v>250</v>
      </c>
      <c r="I69" s="2" t="s">
        <v>251</v>
      </c>
      <c r="J69" s="2" t="n">
        <v>4</v>
      </c>
      <c r="K69" s="2" t="n">
        <v>9089.74</v>
      </c>
      <c r="L69" s="2" t="s">
        <v>21</v>
      </c>
      <c r="M69" s="2" t="n">
        <v>3.8</v>
      </c>
    </row>
    <row r="70" customFormat="false" ht="15" hidden="false" customHeight="false" outlineLevel="0" collapsed="false">
      <c r="A70" s="2" t="s">
        <v>252</v>
      </c>
      <c r="B70" s="2" t="n">
        <v>79</v>
      </c>
      <c r="C70" s="2" t="s">
        <v>14</v>
      </c>
      <c r="D70" s="2" t="s">
        <v>31</v>
      </c>
      <c r="E70" s="2" t="s">
        <v>53</v>
      </c>
      <c r="F70" s="2" t="s">
        <v>253</v>
      </c>
      <c r="G70" s="2" t="s">
        <v>86</v>
      </c>
      <c r="H70" s="2" t="s">
        <v>167</v>
      </c>
      <c r="I70" s="2" t="s">
        <v>254</v>
      </c>
      <c r="J70" s="2" t="n">
        <v>2</v>
      </c>
      <c r="K70" s="2" t="n">
        <v>3845.63</v>
      </c>
      <c r="L70" s="2" t="s">
        <v>21</v>
      </c>
      <c r="M70" s="2" t="n">
        <v>3.2</v>
      </c>
    </row>
    <row r="71" customFormat="false" ht="15" hidden="false" customHeight="false" outlineLevel="0" collapsed="false">
      <c r="A71" s="2" t="s">
        <v>255</v>
      </c>
      <c r="B71" s="2" t="n">
        <v>49</v>
      </c>
      <c r="C71" s="2" t="s">
        <v>14</v>
      </c>
      <c r="D71" s="2" t="s">
        <v>23</v>
      </c>
      <c r="E71" s="2" t="s">
        <v>53</v>
      </c>
      <c r="F71" s="2" t="s">
        <v>76</v>
      </c>
      <c r="G71" s="2" t="s">
        <v>26</v>
      </c>
      <c r="H71" s="2" t="s">
        <v>226</v>
      </c>
      <c r="I71" s="2" t="s">
        <v>256</v>
      </c>
      <c r="J71" s="2" t="n">
        <v>1</v>
      </c>
      <c r="K71" s="2" t="n">
        <v>2941.1</v>
      </c>
      <c r="L71" s="2" t="s">
        <v>57</v>
      </c>
      <c r="M71" s="2" t="n">
        <v>4</v>
      </c>
    </row>
    <row r="72" customFormat="false" ht="15" hidden="false" customHeight="false" outlineLevel="0" collapsed="false">
      <c r="A72" s="2" t="s">
        <v>257</v>
      </c>
      <c r="B72" s="2" t="n">
        <v>72</v>
      </c>
      <c r="C72" s="2" t="s">
        <v>30</v>
      </c>
      <c r="D72" s="2" t="s">
        <v>23</v>
      </c>
      <c r="E72" s="2" t="s">
        <v>24</v>
      </c>
      <c r="F72" s="2" t="s">
        <v>25</v>
      </c>
      <c r="G72" s="2" t="s">
        <v>26</v>
      </c>
      <c r="H72" s="2" t="s">
        <v>258</v>
      </c>
      <c r="I72" s="2" t="s">
        <v>259</v>
      </c>
      <c r="J72" s="2" t="n">
        <v>9</v>
      </c>
      <c r="K72" s="2" t="n">
        <v>17937.84</v>
      </c>
      <c r="L72" s="2" t="s">
        <v>21</v>
      </c>
      <c r="M72" s="2" t="n">
        <v>3.1</v>
      </c>
    </row>
    <row r="73" customFormat="false" ht="15" hidden="false" customHeight="false" outlineLevel="0" collapsed="false">
      <c r="A73" s="2" t="s">
        <v>260</v>
      </c>
      <c r="B73" s="2" t="n">
        <v>40</v>
      </c>
      <c r="C73" s="2" t="s">
        <v>14</v>
      </c>
      <c r="D73" s="2" t="s">
        <v>64</v>
      </c>
      <c r="E73" s="2" t="s">
        <v>42</v>
      </c>
      <c r="F73" s="2" t="s">
        <v>108</v>
      </c>
      <c r="G73" s="2" t="s">
        <v>77</v>
      </c>
      <c r="H73" s="2" t="s">
        <v>56</v>
      </c>
      <c r="I73" s="2" t="s">
        <v>261</v>
      </c>
      <c r="J73" s="2" t="n">
        <v>3</v>
      </c>
      <c r="K73" s="2" t="n">
        <v>8527.41</v>
      </c>
      <c r="L73" s="2" t="s">
        <v>21</v>
      </c>
      <c r="M73" s="2" t="n">
        <v>3.3</v>
      </c>
    </row>
    <row r="74" customFormat="false" ht="15" hidden="false" customHeight="false" outlineLevel="0" collapsed="false">
      <c r="A74" s="2" t="s">
        <v>262</v>
      </c>
      <c r="B74" s="2" t="n">
        <v>54</v>
      </c>
      <c r="C74" s="2" t="s">
        <v>30</v>
      </c>
      <c r="D74" s="2" t="s">
        <v>31</v>
      </c>
      <c r="E74" s="2" t="s">
        <v>37</v>
      </c>
      <c r="F74" s="2" t="s">
        <v>151</v>
      </c>
      <c r="G74" s="2" t="s">
        <v>33</v>
      </c>
      <c r="H74" s="2" t="s">
        <v>263</v>
      </c>
      <c r="I74" s="2" t="s">
        <v>70</v>
      </c>
      <c r="J74" s="2" t="n">
        <v>2</v>
      </c>
      <c r="K74" s="2" t="n">
        <v>5238.29</v>
      </c>
      <c r="L74" s="2" t="s">
        <v>21</v>
      </c>
      <c r="M74" s="2" t="n">
        <v>4.1</v>
      </c>
    </row>
    <row r="75" customFormat="false" ht="15" hidden="false" customHeight="false" outlineLevel="0" collapsed="false">
      <c r="A75" s="2" t="s">
        <v>264</v>
      </c>
      <c r="B75" s="2" t="n">
        <v>37</v>
      </c>
      <c r="C75" s="2" t="s">
        <v>30</v>
      </c>
      <c r="D75" s="2" t="s">
        <v>64</v>
      </c>
      <c r="E75" s="2" t="s">
        <v>42</v>
      </c>
      <c r="F75" s="2" t="s">
        <v>69</v>
      </c>
      <c r="G75" s="2" t="s">
        <v>18</v>
      </c>
      <c r="H75" s="2" t="s">
        <v>248</v>
      </c>
      <c r="I75" s="2" t="s">
        <v>265</v>
      </c>
      <c r="J75" s="2" t="n">
        <v>5</v>
      </c>
      <c r="K75" s="2" t="n">
        <v>7878.59</v>
      </c>
      <c r="L75" s="2" t="s">
        <v>57</v>
      </c>
      <c r="M75" s="2" t="n">
        <v>2.8</v>
      </c>
    </row>
    <row r="76" customFormat="false" ht="15" hidden="false" customHeight="false" outlineLevel="0" collapsed="false">
      <c r="A76" s="2" t="s">
        <v>266</v>
      </c>
      <c r="B76" s="2" t="n">
        <v>74</v>
      </c>
      <c r="C76" s="2" t="s">
        <v>14</v>
      </c>
      <c r="D76" s="2" t="s">
        <v>52</v>
      </c>
      <c r="E76" s="2" t="s">
        <v>37</v>
      </c>
      <c r="F76" s="2" t="s">
        <v>173</v>
      </c>
      <c r="G76" s="2" t="s">
        <v>48</v>
      </c>
      <c r="H76" s="2" t="s">
        <v>267</v>
      </c>
      <c r="I76" s="2" t="s">
        <v>268</v>
      </c>
      <c r="J76" s="2" t="n">
        <v>7</v>
      </c>
      <c r="K76" s="2" t="n">
        <v>7843.23</v>
      </c>
      <c r="L76" s="2" t="s">
        <v>21</v>
      </c>
      <c r="M76" s="2" t="n">
        <v>3.6</v>
      </c>
    </row>
    <row r="77" customFormat="false" ht="15" hidden="false" customHeight="false" outlineLevel="0" collapsed="false">
      <c r="A77" s="2" t="s">
        <v>269</v>
      </c>
      <c r="B77" s="2" t="n">
        <v>73</v>
      </c>
      <c r="C77" s="2" t="s">
        <v>30</v>
      </c>
      <c r="D77" s="2" t="s">
        <v>23</v>
      </c>
      <c r="E77" s="2" t="s">
        <v>59</v>
      </c>
      <c r="F77" s="2" t="s">
        <v>60</v>
      </c>
      <c r="G77" s="2" t="s">
        <v>86</v>
      </c>
      <c r="H77" s="2" t="s">
        <v>270</v>
      </c>
      <c r="I77" s="2" t="s">
        <v>271</v>
      </c>
      <c r="J77" s="2" t="n">
        <v>6</v>
      </c>
      <c r="K77" s="2" t="n">
        <v>11712.19</v>
      </c>
      <c r="L77" s="2" t="s">
        <v>21</v>
      </c>
      <c r="M77" s="2" t="n">
        <v>3.2</v>
      </c>
    </row>
    <row r="78" customFormat="false" ht="15" hidden="false" customHeight="false" outlineLevel="0" collapsed="false">
      <c r="A78" s="2" t="s">
        <v>272</v>
      </c>
      <c r="B78" s="2" t="n">
        <v>20</v>
      </c>
      <c r="C78" s="2" t="s">
        <v>30</v>
      </c>
      <c r="D78" s="2" t="s">
        <v>23</v>
      </c>
      <c r="E78" s="2" t="s">
        <v>42</v>
      </c>
      <c r="F78" s="2" t="s">
        <v>43</v>
      </c>
      <c r="G78" s="2" t="s">
        <v>77</v>
      </c>
      <c r="H78" s="2" t="s">
        <v>273</v>
      </c>
      <c r="I78" s="2" t="s">
        <v>274</v>
      </c>
      <c r="J78" s="2" t="n">
        <v>1</v>
      </c>
      <c r="K78" s="2" t="n">
        <v>5817.39</v>
      </c>
      <c r="L78" s="2" t="s">
        <v>21</v>
      </c>
      <c r="M78" s="2" t="n">
        <v>2.9</v>
      </c>
    </row>
    <row r="79" customFormat="false" ht="15" hidden="false" customHeight="false" outlineLevel="0" collapsed="false">
      <c r="A79" s="2" t="s">
        <v>275</v>
      </c>
      <c r="B79" s="2" t="n">
        <v>80</v>
      </c>
      <c r="C79" s="2" t="s">
        <v>14</v>
      </c>
      <c r="D79" s="2" t="s">
        <v>52</v>
      </c>
      <c r="E79" s="2" t="s">
        <v>59</v>
      </c>
      <c r="F79" s="2" t="s">
        <v>85</v>
      </c>
      <c r="G79" s="2" t="s">
        <v>33</v>
      </c>
      <c r="H79" s="2" t="s">
        <v>276</v>
      </c>
      <c r="I79" s="2" t="s">
        <v>277</v>
      </c>
      <c r="J79" s="2" t="n">
        <v>5</v>
      </c>
      <c r="K79" s="2" t="n">
        <v>7508.07</v>
      </c>
      <c r="L79" s="2" t="s">
        <v>21</v>
      </c>
      <c r="M79" s="2" t="n">
        <v>2.3</v>
      </c>
    </row>
    <row r="80" customFormat="false" ht="15" hidden="false" customHeight="false" outlineLevel="0" collapsed="false">
      <c r="A80" s="2" t="s">
        <v>278</v>
      </c>
      <c r="B80" s="2" t="n">
        <v>81</v>
      </c>
      <c r="C80" s="2" t="s">
        <v>30</v>
      </c>
      <c r="D80" s="2" t="s">
        <v>52</v>
      </c>
      <c r="E80" s="2" t="s">
        <v>24</v>
      </c>
      <c r="F80" s="2" t="s">
        <v>25</v>
      </c>
      <c r="G80" s="2" t="s">
        <v>77</v>
      </c>
      <c r="H80" s="2" t="s">
        <v>279</v>
      </c>
      <c r="I80" s="2" t="s">
        <v>280</v>
      </c>
      <c r="J80" s="2" t="n">
        <v>8</v>
      </c>
      <c r="K80" s="2" t="n">
        <v>20636.32</v>
      </c>
      <c r="L80" s="2" t="s">
        <v>119</v>
      </c>
      <c r="M80" s="2"/>
    </row>
    <row r="81" customFormat="false" ht="15" hidden="false" customHeight="false" outlineLevel="0" collapsed="false">
      <c r="A81" s="2" t="s">
        <v>281</v>
      </c>
      <c r="B81" s="2" t="n">
        <v>69</v>
      </c>
      <c r="C81" s="2" t="s">
        <v>14</v>
      </c>
      <c r="D81" s="2" t="s">
        <v>23</v>
      </c>
      <c r="E81" s="2" t="s">
        <v>53</v>
      </c>
      <c r="F81" s="2" t="s">
        <v>253</v>
      </c>
      <c r="G81" s="2" t="s">
        <v>86</v>
      </c>
      <c r="H81" s="2" t="s">
        <v>282</v>
      </c>
      <c r="I81" s="2" t="s">
        <v>283</v>
      </c>
      <c r="J81" s="2" t="n">
        <v>1</v>
      </c>
      <c r="K81" s="2" t="n">
        <v>3496.71</v>
      </c>
      <c r="L81" s="2" t="s">
        <v>21</v>
      </c>
      <c r="M81" s="2" t="n">
        <v>3.5</v>
      </c>
    </row>
    <row r="82" customFormat="false" ht="15" hidden="false" customHeight="false" outlineLevel="0" collapsed="false">
      <c r="A82" s="2" t="s">
        <v>284</v>
      </c>
      <c r="B82" s="2" t="n">
        <v>52</v>
      </c>
      <c r="C82" s="2" t="s">
        <v>14</v>
      </c>
      <c r="D82" s="2" t="s">
        <v>15</v>
      </c>
      <c r="E82" s="2" t="s">
        <v>53</v>
      </c>
      <c r="F82" s="2" t="s">
        <v>253</v>
      </c>
      <c r="G82" s="2" t="s">
        <v>86</v>
      </c>
      <c r="H82" s="2" t="s">
        <v>206</v>
      </c>
      <c r="I82" s="2" t="s">
        <v>285</v>
      </c>
      <c r="J82" s="2" t="n">
        <v>2</v>
      </c>
      <c r="K82" s="2" t="n">
        <v>4864.47</v>
      </c>
      <c r="L82" s="2" t="s">
        <v>21</v>
      </c>
      <c r="M82" s="2" t="n">
        <v>3.5</v>
      </c>
    </row>
    <row r="83" customFormat="false" ht="15" hidden="false" customHeight="false" outlineLevel="0" collapsed="false">
      <c r="A83" s="2" t="s">
        <v>286</v>
      </c>
      <c r="B83" s="2" t="n">
        <v>38</v>
      </c>
      <c r="C83" s="2" t="s">
        <v>30</v>
      </c>
      <c r="D83" s="2" t="s">
        <v>23</v>
      </c>
      <c r="E83" s="2" t="s">
        <v>42</v>
      </c>
      <c r="F83" s="2" t="s">
        <v>108</v>
      </c>
      <c r="G83" s="2" t="s">
        <v>86</v>
      </c>
      <c r="H83" s="2" t="s">
        <v>287</v>
      </c>
      <c r="I83" s="2" t="s">
        <v>288</v>
      </c>
      <c r="J83" s="2" t="n">
        <v>9</v>
      </c>
      <c r="K83" s="2" t="n">
        <v>11917.33</v>
      </c>
      <c r="L83" s="2" t="s">
        <v>21</v>
      </c>
      <c r="M83" s="2" t="n">
        <v>4.3</v>
      </c>
    </row>
    <row r="84" customFormat="false" ht="15" hidden="false" customHeight="false" outlineLevel="0" collapsed="false">
      <c r="A84" s="2" t="s">
        <v>289</v>
      </c>
      <c r="B84" s="2" t="n">
        <v>81</v>
      </c>
      <c r="C84" s="2" t="s">
        <v>30</v>
      </c>
      <c r="D84" s="2" t="s">
        <v>23</v>
      </c>
      <c r="E84" s="2" t="s">
        <v>37</v>
      </c>
      <c r="F84" s="2" t="s">
        <v>173</v>
      </c>
      <c r="G84" s="2" t="s">
        <v>77</v>
      </c>
      <c r="H84" s="2" t="s">
        <v>251</v>
      </c>
      <c r="I84" s="2" t="s">
        <v>290</v>
      </c>
      <c r="J84" s="2" t="n">
        <v>8</v>
      </c>
      <c r="K84" s="2" t="n">
        <v>9515.89</v>
      </c>
      <c r="L84" s="2" t="s">
        <v>21</v>
      </c>
      <c r="M84" s="2" t="n">
        <v>3.3</v>
      </c>
    </row>
    <row r="85" customFormat="false" ht="15" hidden="false" customHeight="false" outlineLevel="0" collapsed="false">
      <c r="A85" s="2" t="s">
        <v>291</v>
      </c>
      <c r="B85" s="2" t="n">
        <v>67</v>
      </c>
      <c r="C85" s="2" t="s">
        <v>14</v>
      </c>
      <c r="D85" s="2" t="s">
        <v>23</v>
      </c>
      <c r="E85" s="2" t="s">
        <v>24</v>
      </c>
      <c r="F85" s="2" t="s">
        <v>147</v>
      </c>
      <c r="G85" s="2" t="s">
        <v>86</v>
      </c>
      <c r="H85" s="2" t="s">
        <v>292</v>
      </c>
      <c r="I85" s="2" t="s">
        <v>35</v>
      </c>
      <c r="J85" s="2" t="n">
        <v>9</v>
      </c>
      <c r="K85" s="2" t="n">
        <v>12770.22</v>
      </c>
      <c r="L85" s="2" t="s">
        <v>21</v>
      </c>
      <c r="M85" s="2" t="n">
        <v>3.5</v>
      </c>
    </row>
    <row r="86" customFormat="false" ht="15" hidden="false" customHeight="false" outlineLevel="0" collapsed="false">
      <c r="A86" s="2" t="s">
        <v>293</v>
      </c>
      <c r="B86" s="2" t="n">
        <v>18</v>
      </c>
      <c r="C86" s="2" t="s">
        <v>30</v>
      </c>
      <c r="D86" s="2" t="s">
        <v>15</v>
      </c>
      <c r="E86" s="2" t="s">
        <v>24</v>
      </c>
      <c r="F86" s="2" t="s">
        <v>94</v>
      </c>
      <c r="G86" s="2" t="s">
        <v>18</v>
      </c>
      <c r="H86" s="2" t="s">
        <v>294</v>
      </c>
      <c r="I86" s="2" t="s">
        <v>191</v>
      </c>
      <c r="J86" s="2" t="n">
        <v>5</v>
      </c>
      <c r="K86" s="2" t="n">
        <v>14320.35</v>
      </c>
      <c r="L86" s="2" t="s">
        <v>21</v>
      </c>
      <c r="M86" s="2" t="n">
        <v>3.4</v>
      </c>
    </row>
    <row r="87" customFormat="false" ht="15" hidden="false" customHeight="false" outlineLevel="0" collapsed="false">
      <c r="A87" s="2" t="s">
        <v>295</v>
      </c>
      <c r="B87" s="2" t="n">
        <v>87</v>
      </c>
      <c r="C87" s="2" t="s">
        <v>30</v>
      </c>
      <c r="D87" s="2" t="s">
        <v>52</v>
      </c>
      <c r="E87" s="2" t="s">
        <v>59</v>
      </c>
      <c r="F87" s="2" t="s">
        <v>65</v>
      </c>
      <c r="G87" s="2" t="s">
        <v>48</v>
      </c>
      <c r="H87" s="2" t="s">
        <v>193</v>
      </c>
      <c r="I87" s="2" t="s">
        <v>238</v>
      </c>
      <c r="J87" s="2" t="n">
        <v>5</v>
      </c>
      <c r="K87" s="2" t="n">
        <v>8367.53</v>
      </c>
      <c r="L87" s="2" t="s">
        <v>57</v>
      </c>
      <c r="M87" s="2" t="n">
        <v>4.7</v>
      </c>
    </row>
    <row r="88" customFormat="false" ht="15" hidden="false" customHeight="false" outlineLevel="0" collapsed="false">
      <c r="A88" s="2" t="s">
        <v>296</v>
      </c>
      <c r="B88" s="2" t="n">
        <v>66</v>
      </c>
      <c r="C88" s="2" t="s">
        <v>30</v>
      </c>
      <c r="D88" s="2" t="s">
        <v>64</v>
      </c>
      <c r="E88" s="2" t="s">
        <v>53</v>
      </c>
      <c r="F88" s="2" t="s">
        <v>154</v>
      </c>
      <c r="G88" s="2" t="s">
        <v>18</v>
      </c>
      <c r="H88" s="2" t="s">
        <v>297</v>
      </c>
      <c r="I88" s="2" t="s">
        <v>298</v>
      </c>
      <c r="J88" s="2" t="n">
        <v>3</v>
      </c>
      <c r="K88" s="2" t="n">
        <v>4961.33</v>
      </c>
      <c r="L88" s="2" t="s">
        <v>21</v>
      </c>
      <c r="M88" s="2" t="n">
        <v>3.5</v>
      </c>
    </row>
    <row r="89" customFormat="false" ht="15" hidden="false" customHeight="false" outlineLevel="0" collapsed="false">
      <c r="A89" s="2" t="s">
        <v>299</v>
      </c>
      <c r="B89" s="2" t="n">
        <v>74</v>
      </c>
      <c r="C89" s="2" t="s">
        <v>14</v>
      </c>
      <c r="D89" s="2" t="s">
        <v>23</v>
      </c>
      <c r="E89" s="2" t="s">
        <v>53</v>
      </c>
      <c r="F89" s="2" t="s">
        <v>154</v>
      </c>
      <c r="G89" s="2" t="s">
        <v>48</v>
      </c>
      <c r="H89" s="2" t="s">
        <v>300</v>
      </c>
      <c r="I89" s="2" t="s">
        <v>301</v>
      </c>
      <c r="J89" s="2" t="n">
        <v>1</v>
      </c>
      <c r="K89" s="2" t="n">
        <v>4100.26</v>
      </c>
      <c r="L89" s="2" t="s">
        <v>21</v>
      </c>
      <c r="M89" s="2" t="n">
        <v>1.9</v>
      </c>
    </row>
    <row r="90" customFormat="false" ht="15" hidden="false" customHeight="false" outlineLevel="0" collapsed="false">
      <c r="A90" s="2" t="s">
        <v>302</v>
      </c>
      <c r="B90" s="2" t="n">
        <v>61</v>
      </c>
      <c r="C90" s="2" t="s">
        <v>30</v>
      </c>
      <c r="D90" s="2" t="s">
        <v>31</v>
      </c>
      <c r="E90" s="2" t="s">
        <v>59</v>
      </c>
      <c r="F90" s="2" t="s">
        <v>85</v>
      </c>
      <c r="G90" s="2" t="s">
        <v>33</v>
      </c>
      <c r="H90" s="2" t="s">
        <v>303</v>
      </c>
      <c r="I90" s="2" t="s">
        <v>304</v>
      </c>
      <c r="J90" s="2" t="n">
        <v>7</v>
      </c>
      <c r="K90" s="2" t="n">
        <v>9151.68</v>
      </c>
      <c r="L90" s="2" t="s">
        <v>57</v>
      </c>
      <c r="M90" s="2" t="n">
        <v>2.3</v>
      </c>
    </row>
    <row r="91" customFormat="false" ht="15" hidden="false" customHeight="false" outlineLevel="0" collapsed="false">
      <c r="A91" s="2" t="s">
        <v>305</v>
      </c>
      <c r="B91" s="2" t="n">
        <v>22</v>
      </c>
      <c r="C91" s="2" t="s">
        <v>14</v>
      </c>
      <c r="D91" s="2" t="s">
        <v>64</v>
      </c>
      <c r="E91" s="2" t="s">
        <v>37</v>
      </c>
      <c r="F91" s="2" t="s">
        <v>173</v>
      </c>
      <c r="G91" s="2" t="s">
        <v>18</v>
      </c>
      <c r="H91" s="2" t="s">
        <v>306</v>
      </c>
      <c r="I91" s="2" t="s">
        <v>307</v>
      </c>
      <c r="J91" s="2" t="n">
        <v>3</v>
      </c>
      <c r="K91" s="2" t="n">
        <v>6901.85</v>
      </c>
      <c r="L91" s="2" t="s">
        <v>21</v>
      </c>
      <c r="M91" s="2" t="n">
        <v>4.2</v>
      </c>
    </row>
    <row r="92" customFormat="false" ht="15" hidden="false" customHeight="false" outlineLevel="0" collapsed="false">
      <c r="A92" s="2" t="s">
        <v>308</v>
      </c>
      <c r="B92" s="2" t="n">
        <v>56</v>
      </c>
      <c r="C92" s="2" t="s">
        <v>14</v>
      </c>
      <c r="D92" s="2" t="s">
        <v>31</v>
      </c>
      <c r="E92" s="2" t="s">
        <v>59</v>
      </c>
      <c r="F92" s="2" t="s">
        <v>60</v>
      </c>
      <c r="G92" s="2" t="s">
        <v>33</v>
      </c>
      <c r="H92" s="2" t="s">
        <v>309</v>
      </c>
      <c r="I92" s="2" t="s">
        <v>310</v>
      </c>
      <c r="J92" s="2" t="n">
        <v>4</v>
      </c>
      <c r="K92" s="2" t="n">
        <v>7861.11</v>
      </c>
      <c r="L92" s="2" t="s">
        <v>21</v>
      </c>
      <c r="M92" s="2" t="n">
        <v>3.9</v>
      </c>
    </row>
    <row r="93" customFormat="false" ht="15" hidden="false" customHeight="false" outlineLevel="0" collapsed="false">
      <c r="A93" s="2" t="s">
        <v>311</v>
      </c>
      <c r="B93" s="2" t="n">
        <v>90</v>
      </c>
      <c r="C93" s="2" t="s">
        <v>14</v>
      </c>
      <c r="D93" s="2" t="s">
        <v>64</v>
      </c>
      <c r="E93" s="2" t="s">
        <v>16</v>
      </c>
      <c r="F93" s="2" t="s">
        <v>90</v>
      </c>
      <c r="G93" s="2" t="s">
        <v>26</v>
      </c>
      <c r="H93" s="2" t="s">
        <v>312</v>
      </c>
      <c r="I93" s="2" t="s">
        <v>313</v>
      </c>
      <c r="J93" s="2" t="n">
        <v>4</v>
      </c>
      <c r="K93" s="2" t="n">
        <v>8069.67</v>
      </c>
      <c r="L93" s="2" t="s">
        <v>57</v>
      </c>
      <c r="M93" s="2" t="n">
        <v>4.1</v>
      </c>
    </row>
    <row r="94" customFormat="false" ht="15" hidden="false" customHeight="false" outlineLevel="0" collapsed="false">
      <c r="A94" s="2" t="s">
        <v>314</v>
      </c>
      <c r="B94" s="2" t="n">
        <v>50</v>
      </c>
      <c r="C94" s="2" t="s">
        <v>30</v>
      </c>
      <c r="D94" s="2" t="s">
        <v>15</v>
      </c>
      <c r="E94" s="2" t="s">
        <v>37</v>
      </c>
      <c r="F94" s="2" t="s">
        <v>158</v>
      </c>
      <c r="G94" s="2" t="s">
        <v>77</v>
      </c>
      <c r="H94" s="2" t="s">
        <v>315</v>
      </c>
      <c r="I94" s="2" t="s">
        <v>316</v>
      </c>
      <c r="J94" s="2" t="n">
        <v>6</v>
      </c>
      <c r="K94" s="2" t="n">
        <v>7616.61</v>
      </c>
      <c r="L94" s="2" t="s">
        <v>21</v>
      </c>
      <c r="M94" s="2" t="n">
        <v>3.1</v>
      </c>
    </row>
    <row r="95" customFormat="false" ht="15" hidden="false" customHeight="false" outlineLevel="0" collapsed="false">
      <c r="A95" s="2" t="s">
        <v>317</v>
      </c>
      <c r="B95" s="2" t="n">
        <v>62</v>
      </c>
      <c r="C95" s="2" t="s">
        <v>30</v>
      </c>
      <c r="D95" s="2" t="s">
        <v>52</v>
      </c>
      <c r="E95" s="2" t="s">
        <v>37</v>
      </c>
      <c r="F95" s="2" t="s">
        <v>173</v>
      </c>
      <c r="G95" s="2" t="s">
        <v>77</v>
      </c>
      <c r="H95" s="2" t="s">
        <v>247</v>
      </c>
      <c r="I95" s="2" t="s">
        <v>248</v>
      </c>
      <c r="J95" s="2" t="n">
        <v>5</v>
      </c>
      <c r="K95" s="2" t="n">
        <v>8529.36</v>
      </c>
      <c r="L95" s="2" t="s">
        <v>21</v>
      </c>
      <c r="M95" s="2" t="n">
        <v>3.6</v>
      </c>
    </row>
    <row r="96" customFormat="false" ht="15" hidden="false" customHeight="false" outlineLevel="0" collapsed="false">
      <c r="A96" s="2" t="s">
        <v>318</v>
      </c>
      <c r="B96" s="2" t="n">
        <v>55</v>
      </c>
      <c r="C96" s="2" t="s">
        <v>30</v>
      </c>
      <c r="D96" s="2" t="s">
        <v>31</v>
      </c>
      <c r="E96" s="2" t="s">
        <v>37</v>
      </c>
      <c r="F96" s="2" t="s">
        <v>38</v>
      </c>
      <c r="G96" s="2" t="s">
        <v>33</v>
      </c>
      <c r="H96" s="2" t="s">
        <v>319</v>
      </c>
      <c r="I96" s="2" t="s">
        <v>320</v>
      </c>
      <c r="J96" s="2" t="n">
        <v>7</v>
      </c>
      <c r="K96" s="2" t="n">
        <v>6767.75</v>
      </c>
      <c r="L96" s="2" t="s">
        <v>97</v>
      </c>
      <c r="M96" s="2" t="n">
        <v>3</v>
      </c>
    </row>
    <row r="97" customFormat="false" ht="15" hidden="false" customHeight="false" outlineLevel="0" collapsed="false">
      <c r="A97" s="2" t="s">
        <v>321</v>
      </c>
      <c r="B97" s="2" t="n">
        <v>24</v>
      </c>
      <c r="C97" s="2" t="s">
        <v>30</v>
      </c>
      <c r="D97" s="2" t="s">
        <v>15</v>
      </c>
      <c r="E97" s="2" t="s">
        <v>16</v>
      </c>
      <c r="F97" s="2" t="s">
        <v>47</v>
      </c>
      <c r="G97" s="2" t="s">
        <v>18</v>
      </c>
      <c r="H97" s="2" t="s">
        <v>322</v>
      </c>
      <c r="I97" s="2" t="s">
        <v>323</v>
      </c>
      <c r="J97" s="2" t="n">
        <v>3</v>
      </c>
      <c r="K97" s="2" t="n">
        <v>9417.38</v>
      </c>
      <c r="L97" s="2" t="s">
        <v>97</v>
      </c>
      <c r="M97" s="2" t="n">
        <v>3.8</v>
      </c>
    </row>
    <row r="98" customFormat="false" ht="15" hidden="false" customHeight="false" outlineLevel="0" collapsed="false">
      <c r="A98" s="2" t="s">
        <v>324</v>
      </c>
      <c r="B98" s="2" t="n">
        <v>35</v>
      </c>
      <c r="C98" s="2" t="s">
        <v>14</v>
      </c>
      <c r="D98" s="2" t="s">
        <v>31</v>
      </c>
      <c r="E98" s="2" t="s">
        <v>59</v>
      </c>
      <c r="F98" s="2" t="s">
        <v>85</v>
      </c>
      <c r="G98" s="2" t="s">
        <v>86</v>
      </c>
      <c r="H98" s="2" t="s">
        <v>325</v>
      </c>
      <c r="I98" s="2" t="s">
        <v>326</v>
      </c>
      <c r="J98" s="2" t="n">
        <v>2</v>
      </c>
      <c r="K98" s="2" t="n">
        <v>7123.06</v>
      </c>
      <c r="L98" s="2" t="s">
        <v>57</v>
      </c>
      <c r="M98" s="2" t="n">
        <v>4</v>
      </c>
    </row>
    <row r="99" customFormat="false" ht="15" hidden="false" customHeight="false" outlineLevel="0" collapsed="false">
      <c r="A99" s="2" t="s">
        <v>327</v>
      </c>
      <c r="B99" s="2" t="n">
        <v>59</v>
      </c>
      <c r="C99" s="2" t="s">
        <v>30</v>
      </c>
      <c r="D99" s="2" t="s">
        <v>64</v>
      </c>
      <c r="E99" s="2" t="s">
        <v>16</v>
      </c>
      <c r="F99" s="2" t="s">
        <v>17</v>
      </c>
      <c r="G99" s="2" t="s">
        <v>26</v>
      </c>
      <c r="H99" s="2" t="s">
        <v>328</v>
      </c>
      <c r="I99" s="2" t="s">
        <v>329</v>
      </c>
      <c r="J99" s="2" t="n">
        <v>1</v>
      </c>
      <c r="K99" s="2" t="n">
        <v>6986.27</v>
      </c>
      <c r="L99" s="2" t="s">
        <v>57</v>
      </c>
      <c r="M99" s="2" t="n">
        <v>3.7</v>
      </c>
    </row>
    <row r="100" customFormat="false" ht="15" hidden="false" customHeight="false" outlineLevel="0" collapsed="false">
      <c r="A100" s="2" t="s">
        <v>330</v>
      </c>
      <c r="B100" s="2" t="n">
        <v>79</v>
      </c>
      <c r="C100" s="2" t="s">
        <v>30</v>
      </c>
      <c r="D100" s="2" t="s">
        <v>15</v>
      </c>
      <c r="E100" s="2" t="s">
        <v>42</v>
      </c>
      <c r="F100" s="2" t="s">
        <v>108</v>
      </c>
      <c r="G100" s="2" t="s">
        <v>86</v>
      </c>
      <c r="H100" s="2" t="s">
        <v>331</v>
      </c>
      <c r="I100" s="2" t="s">
        <v>332</v>
      </c>
      <c r="J100" s="2" t="n">
        <v>9</v>
      </c>
      <c r="K100" s="2" t="n">
        <v>12131.71</v>
      </c>
      <c r="L100" s="2" t="s">
        <v>21</v>
      </c>
      <c r="M100" s="2" t="n">
        <v>2.8</v>
      </c>
    </row>
    <row r="101" customFormat="false" ht="15" hidden="false" customHeight="false" outlineLevel="0" collapsed="false">
      <c r="A101" s="2" t="s">
        <v>333</v>
      </c>
      <c r="B101" s="2" t="n">
        <v>68</v>
      </c>
      <c r="C101" s="2" t="s">
        <v>30</v>
      </c>
      <c r="D101" s="2" t="s">
        <v>31</v>
      </c>
      <c r="E101" s="2" t="s">
        <v>53</v>
      </c>
      <c r="F101" s="2" t="s">
        <v>154</v>
      </c>
      <c r="G101" s="2" t="s">
        <v>33</v>
      </c>
      <c r="H101" s="2" t="s">
        <v>334</v>
      </c>
      <c r="I101" s="2" t="s">
        <v>95</v>
      </c>
      <c r="J101" s="2" t="n">
        <v>3</v>
      </c>
      <c r="K101" s="2" t="n">
        <v>4830.11</v>
      </c>
      <c r="L101" s="2" t="s">
        <v>97</v>
      </c>
      <c r="M101" s="2" t="n">
        <v>3.6</v>
      </c>
    </row>
    <row r="102" customFormat="false" ht="15" hidden="false" customHeight="false" outlineLevel="0" collapsed="false">
      <c r="A102" s="2" t="s">
        <v>335</v>
      </c>
      <c r="B102" s="2" t="n">
        <v>65</v>
      </c>
      <c r="C102" s="2" t="s">
        <v>14</v>
      </c>
      <c r="D102" s="2" t="s">
        <v>64</v>
      </c>
      <c r="E102" s="2" t="s">
        <v>53</v>
      </c>
      <c r="F102" s="2" t="s">
        <v>154</v>
      </c>
      <c r="G102" s="2" t="s">
        <v>26</v>
      </c>
      <c r="H102" s="2" t="s">
        <v>66</v>
      </c>
      <c r="I102" s="2" t="s">
        <v>336</v>
      </c>
      <c r="J102" s="2" t="n">
        <v>4</v>
      </c>
      <c r="K102" s="2" t="n">
        <v>4386.52</v>
      </c>
      <c r="L102" s="2" t="s">
        <v>21</v>
      </c>
      <c r="M102" s="2" t="n">
        <v>4.4</v>
      </c>
    </row>
    <row r="103" customFormat="false" ht="15" hidden="false" customHeight="false" outlineLevel="0" collapsed="false">
      <c r="A103" s="2" t="s">
        <v>337</v>
      </c>
      <c r="B103" s="2" t="n">
        <v>77</v>
      </c>
      <c r="C103" s="2" t="s">
        <v>30</v>
      </c>
      <c r="D103" s="2" t="s">
        <v>52</v>
      </c>
      <c r="E103" s="2" t="s">
        <v>42</v>
      </c>
      <c r="F103" s="2" t="s">
        <v>43</v>
      </c>
      <c r="G103" s="2" t="s">
        <v>86</v>
      </c>
      <c r="H103" s="2" t="s">
        <v>338</v>
      </c>
      <c r="I103" s="2" t="s">
        <v>339</v>
      </c>
      <c r="J103" s="2" t="n">
        <v>5</v>
      </c>
      <c r="K103" s="2" t="n">
        <v>12365.93</v>
      </c>
      <c r="L103" s="2" t="s">
        <v>21</v>
      </c>
      <c r="M103" s="2" t="n">
        <v>3.8</v>
      </c>
    </row>
    <row r="104" customFormat="false" ht="15" hidden="false" customHeight="false" outlineLevel="0" collapsed="false">
      <c r="A104" s="2" t="s">
        <v>340</v>
      </c>
      <c r="B104" s="2" t="n">
        <v>76</v>
      </c>
      <c r="C104" s="2" t="s">
        <v>30</v>
      </c>
      <c r="D104" s="2" t="s">
        <v>23</v>
      </c>
      <c r="E104" s="2" t="s">
        <v>53</v>
      </c>
      <c r="F104" s="2" t="s">
        <v>76</v>
      </c>
      <c r="G104" s="2" t="s">
        <v>77</v>
      </c>
      <c r="H104" s="2" t="s">
        <v>136</v>
      </c>
      <c r="I104" s="2" t="s">
        <v>341</v>
      </c>
      <c r="J104" s="2" t="n">
        <v>2</v>
      </c>
      <c r="K104" s="2" t="n">
        <v>4602.96</v>
      </c>
      <c r="L104" s="2" t="s">
        <v>21</v>
      </c>
      <c r="M104" s="2" t="n">
        <v>4.2</v>
      </c>
    </row>
    <row r="105" customFormat="false" ht="15" hidden="false" customHeight="false" outlineLevel="0" collapsed="false">
      <c r="A105" s="2" t="s">
        <v>342</v>
      </c>
      <c r="B105" s="2" t="n">
        <v>53</v>
      </c>
      <c r="C105" s="2" t="s">
        <v>14</v>
      </c>
      <c r="D105" s="2" t="s">
        <v>15</v>
      </c>
      <c r="E105" s="2" t="s">
        <v>16</v>
      </c>
      <c r="F105" s="2" t="s">
        <v>32</v>
      </c>
      <c r="G105" s="2" t="s">
        <v>77</v>
      </c>
      <c r="H105" s="2" t="s">
        <v>343</v>
      </c>
      <c r="I105" s="2" t="s">
        <v>344</v>
      </c>
      <c r="J105" s="2" t="n">
        <v>4</v>
      </c>
      <c r="K105" s="2" t="n">
        <v>8280.61</v>
      </c>
      <c r="L105" s="2" t="s">
        <v>21</v>
      </c>
      <c r="M105" s="2" t="n">
        <v>1.7</v>
      </c>
    </row>
    <row r="106" customFormat="false" ht="15" hidden="false" customHeight="false" outlineLevel="0" collapsed="false">
      <c r="A106" s="2" t="s">
        <v>345</v>
      </c>
      <c r="B106" s="2" t="n">
        <v>63</v>
      </c>
      <c r="C106" s="2" t="s">
        <v>14</v>
      </c>
      <c r="D106" s="2" t="s">
        <v>52</v>
      </c>
      <c r="E106" s="2" t="s">
        <v>59</v>
      </c>
      <c r="F106" s="2" t="s">
        <v>65</v>
      </c>
      <c r="G106" s="2" t="s">
        <v>86</v>
      </c>
      <c r="H106" s="2" t="s">
        <v>346</v>
      </c>
      <c r="I106" s="2" t="s">
        <v>347</v>
      </c>
      <c r="J106" s="2" t="n">
        <v>4</v>
      </c>
      <c r="K106" s="2" t="n">
        <v>9187.55</v>
      </c>
      <c r="L106" s="2" t="s">
        <v>21</v>
      </c>
      <c r="M106" s="2" t="n">
        <v>3.9</v>
      </c>
    </row>
    <row r="107" customFormat="false" ht="15" hidden="false" customHeight="false" outlineLevel="0" collapsed="false">
      <c r="A107" s="2" t="s">
        <v>348</v>
      </c>
      <c r="B107" s="2" t="n">
        <v>20</v>
      </c>
      <c r="C107" s="2" t="s">
        <v>14</v>
      </c>
      <c r="D107" s="2" t="s">
        <v>15</v>
      </c>
      <c r="E107" s="2" t="s">
        <v>16</v>
      </c>
      <c r="F107" s="2" t="s">
        <v>17</v>
      </c>
      <c r="G107" s="2" t="s">
        <v>26</v>
      </c>
      <c r="H107" s="2" t="s">
        <v>349</v>
      </c>
      <c r="I107" s="2" t="s">
        <v>350</v>
      </c>
      <c r="J107" s="2" t="n">
        <v>6</v>
      </c>
      <c r="K107" s="2" t="n">
        <v>10624.28</v>
      </c>
      <c r="L107" s="2" t="s">
        <v>21</v>
      </c>
      <c r="M107" s="2" t="n">
        <v>3.8</v>
      </c>
    </row>
    <row r="108" customFormat="false" ht="15" hidden="false" customHeight="false" outlineLevel="0" collapsed="false">
      <c r="A108" s="2" t="s">
        <v>351</v>
      </c>
      <c r="B108" s="2" t="n">
        <v>60</v>
      </c>
      <c r="C108" s="2" t="s">
        <v>14</v>
      </c>
      <c r="D108" s="2" t="s">
        <v>23</v>
      </c>
      <c r="E108" s="2" t="s">
        <v>42</v>
      </c>
      <c r="F108" s="2" t="s">
        <v>81</v>
      </c>
      <c r="G108" s="2" t="s">
        <v>18</v>
      </c>
      <c r="H108" s="2" t="s">
        <v>352</v>
      </c>
      <c r="I108" s="2" t="s">
        <v>353</v>
      </c>
      <c r="J108" s="2" t="n">
        <v>9</v>
      </c>
      <c r="K108" s="2" t="n">
        <v>9153.64</v>
      </c>
      <c r="L108" s="2" t="s">
        <v>21</v>
      </c>
      <c r="M108" s="2" t="n">
        <v>3</v>
      </c>
    </row>
    <row r="109" customFormat="false" ht="15" hidden="false" customHeight="false" outlineLevel="0" collapsed="false">
      <c r="A109" s="2" t="s">
        <v>354</v>
      </c>
      <c r="B109" s="2" t="n">
        <v>21</v>
      </c>
      <c r="C109" s="2" t="s">
        <v>14</v>
      </c>
      <c r="D109" s="2" t="s">
        <v>31</v>
      </c>
      <c r="E109" s="2" t="s">
        <v>59</v>
      </c>
      <c r="F109" s="2" t="s">
        <v>65</v>
      </c>
      <c r="G109" s="2" t="s">
        <v>26</v>
      </c>
      <c r="H109" s="2" t="s">
        <v>355</v>
      </c>
      <c r="I109" s="2" t="s">
        <v>356</v>
      </c>
      <c r="J109" s="2" t="n">
        <v>6</v>
      </c>
      <c r="K109" s="2" t="n">
        <v>9305.73</v>
      </c>
      <c r="L109" s="2" t="s">
        <v>21</v>
      </c>
      <c r="M109" s="2" t="n">
        <v>3.2</v>
      </c>
    </row>
    <row r="110" customFormat="false" ht="15" hidden="false" customHeight="false" outlineLevel="0" collapsed="false">
      <c r="A110" s="2" t="s">
        <v>357</v>
      </c>
      <c r="B110" s="2" t="n">
        <v>26</v>
      </c>
      <c r="C110" s="2" t="s">
        <v>30</v>
      </c>
      <c r="D110" s="2" t="s">
        <v>52</v>
      </c>
      <c r="E110" s="2" t="s">
        <v>59</v>
      </c>
      <c r="F110" s="2" t="s">
        <v>60</v>
      </c>
      <c r="G110" s="2" t="s">
        <v>77</v>
      </c>
      <c r="H110" s="2" t="s">
        <v>358</v>
      </c>
      <c r="I110" s="2" t="s">
        <v>359</v>
      </c>
      <c r="J110" s="2" t="n">
        <v>5</v>
      </c>
      <c r="K110" s="2" t="n">
        <v>9134.16</v>
      </c>
      <c r="L110" s="2" t="s">
        <v>97</v>
      </c>
      <c r="M110" s="2" t="n">
        <v>4.5</v>
      </c>
    </row>
    <row r="111" customFormat="false" ht="15" hidden="false" customHeight="false" outlineLevel="0" collapsed="false">
      <c r="A111" s="2" t="s">
        <v>360</v>
      </c>
      <c r="B111" s="2" t="n">
        <v>84</v>
      </c>
      <c r="C111" s="2" t="s">
        <v>30</v>
      </c>
      <c r="D111" s="2" t="s">
        <v>52</v>
      </c>
      <c r="E111" s="2" t="s">
        <v>37</v>
      </c>
      <c r="F111" s="2" t="s">
        <v>158</v>
      </c>
      <c r="G111" s="2" t="s">
        <v>86</v>
      </c>
      <c r="H111" s="2" t="s">
        <v>250</v>
      </c>
      <c r="I111" s="2" t="s">
        <v>91</v>
      </c>
      <c r="J111" s="2" t="n">
        <v>7</v>
      </c>
      <c r="K111" s="2" t="n">
        <v>7350.47</v>
      </c>
      <c r="L111" s="2" t="s">
        <v>21</v>
      </c>
      <c r="M111" s="2" t="n">
        <v>3.3</v>
      </c>
    </row>
    <row r="112" customFormat="false" ht="15" hidden="false" customHeight="false" outlineLevel="0" collapsed="false">
      <c r="A112" s="2" t="s">
        <v>361</v>
      </c>
      <c r="B112" s="2" t="n">
        <v>28</v>
      </c>
      <c r="C112" s="2" t="s">
        <v>30</v>
      </c>
      <c r="D112" s="2" t="s">
        <v>23</v>
      </c>
      <c r="E112" s="2" t="s">
        <v>16</v>
      </c>
      <c r="F112" s="2" t="s">
        <v>90</v>
      </c>
      <c r="G112" s="2" t="s">
        <v>18</v>
      </c>
      <c r="H112" s="2" t="s">
        <v>362</v>
      </c>
      <c r="I112" s="2" t="s">
        <v>292</v>
      </c>
      <c r="J112" s="2" t="n">
        <v>1</v>
      </c>
      <c r="K112" s="2" t="n">
        <v>6243.11</v>
      </c>
      <c r="L112" s="2" t="s">
        <v>21</v>
      </c>
      <c r="M112" s="2" t="n">
        <v>3.1</v>
      </c>
    </row>
    <row r="113" customFormat="false" ht="15" hidden="false" customHeight="false" outlineLevel="0" collapsed="false">
      <c r="A113" s="2" t="s">
        <v>363</v>
      </c>
      <c r="B113" s="2" t="n">
        <v>66</v>
      </c>
      <c r="C113" s="2" t="s">
        <v>30</v>
      </c>
      <c r="D113" s="2" t="s">
        <v>52</v>
      </c>
      <c r="E113" s="2" t="s">
        <v>24</v>
      </c>
      <c r="F113" s="2" t="s">
        <v>94</v>
      </c>
      <c r="G113" s="2" t="s">
        <v>86</v>
      </c>
      <c r="H113" s="2" t="s">
        <v>364</v>
      </c>
      <c r="I113" s="2" t="s">
        <v>365</v>
      </c>
      <c r="J113" s="2" t="n">
        <v>10</v>
      </c>
      <c r="K113" s="2" t="n">
        <v>21881.15</v>
      </c>
      <c r="L113" s="2" t="s">
        <v>57</v>
      </c>
      <c r="M113" s="2" t="n">
        <v>2</v>
      </c>
    </row>
    <row r="114" customFormat="false" ht="15" hidden="false" customHeight="false" outlineLevel="0" collapsed="false">
      <c r="A114" s="2" t="s">
        <v>366</v>
      </c>
      <c r="B114" s="2" t="n">
        <v>73</v>
      </c>
      <c r="C114" s="2" t="s">
        <v>30</v>
      </c>
      <c r="D114" s="2" t="s">
        <v>64</v>
      </c>
      <c r="E114" s="2" t="s">
        <v>53</v>
      </c>
      <c r="F114" s="2" t="s">
        <v>54</v>
      </c>
      <c r="G114" s="2" t="s">
        <v>77</v>
      </c>
      <c r="H114" s="2" t="s">
        <v>367</v>
      </c>
      <c r="I114" s="2" t="s">
        <v>368</v>
      </c>
      <c r="J114" s="2" t="n">
        <v>1</v>
      </c>
      <c r="K114" s="2" t="n">
        <v>3352.84</v>
      </c>
      <c r="L114" s="2" t="s">
        <v>21</v>
      </c>
      <c r="M114" s="2" t="n">
        <v>3.9</v>
      </c>
    </row>
    <row r="115" customFormat="false" ht="15" hidden="false" customHeight="false" outlineLevel="0" collapsed="false">
      <c r="A115" s="2" t="s">
        <v>369</v>
      </c>
      <c r="B115" s="2" t="n">
        <v>50</v>
      </c>
      <c r="C115" s="2" t="s">
        <v>30</v>
      </c>
      <c r="D115" s="2" t="s">
        <v>64</v>
      </c>
      <c r="E115" s="2" t="s">
        <v>37</v>
      </c>
      <c r="F115" s="2" t="s">
        <v>38</v>
      </c>
      <c r="G115" s="2" t="s">
        <v>86</v>
      </c>
      <c r="H115" s="2" t="s">
        <v>370</v>
      </c>
      <c r="I115" s="2" t="s">
        <v>280</v>
      </c>
      <c r="J115" s="2" t="n">
        <v>5</v>
      </c>
      <c r="K115" s="2" t="n">
        <v>7076.17</v>
      </c>
      <c r="L115" s="2" t="s">
        <v>21</v>
      </c>
      <c r="M115" s="2" t="n">
        <v>3.5</v>
      </c>
    </row>
    <row r="116" customFormat="false" ht="15" hidden="false" customHeight="false" outlineLevel="0" collapsed="false">
      <c r="A116" s="2" t="s">
        <v>371</v>
      </c>
      <c r="B116" s="2" t="n">
        <v>89</v>
      </c>
      <c r="C116" s="2" t="s">
        <v>14</v>
      </c>
      <c r="D116" s="2" t="s">
        <v>23</v>
      </c>
      <c r="E116" s="2" t="s">
        <v>24</v>
      </c>
      <c r="F116" s="2" t="s">
        <v>372</v>
      </c>
      <c r="G116" s="2" t="s">
        <v>48</v>
      </c>
      <c r="H116" s="2" t="s">
        <v>373</v>
      </c>
      <c r="I116" s="2" t="s">
        <v>148</v>
      </c>
      <c r="J116" s="2" t="n">
        <v>5</v>
      </c>
      <c r="K116" s="2" t="n">
        <v>11831.64</v>
      </c>
      <c r="L116" s="2" t="s">
        <v>57</v>
      </c>
      <c r="M116" s="2" t="n">
        <v>4.3</v>
      </c>
    </row>
    <row r="117" customFormat="false" ht="15" hidden="false" customHeight="false" outlineLevel="0" collapsed="false">
      <c r="A117" s="2" t="s">
        <v>374</v>
      </c>
      <c r="B117" s="2" t="n">
        <v>72</v>
      </c>
      <c r="C117" s="2" t="s">
        <v>14</v>
      </c>
      <c r="D117" s="2" t="s">
        <v>15</v>
      </c>
      <c r="E117" s="2" t="s">
        <v>24</v>
      </c>
      <c r="F117" s="2" t="s">
        <v>372</v>
      </c>
      <c r="G117" s="2" t="s">
        <v>33</v>
      </c>
      <c r="H117" s="2" t="s">
        <v>375</v>
      </c>
      <c r="I117" s="2" t="s">
        <v>376</v>
      </c>
      <c r="J117" s="2" t="n">
        <v>7</v>
      </c>
      <c r="K117" s="2" t="n">
        <v>16824.24</v>
      </c>
      <c r="L117" s="2" t="s">
        <v>21</v>
      </c>
      <c r="M117" s="2" t="n">
        <v>3.5</v>
      </c>
    </row>
    <row r="118" customFormat="false" ht="15" hidden="false" customHeight="false" outlineLevel="0" collapsed="false">
      <c r="A118" s="2" t="s">
        <v>377</v>
      </c>
      <c r="B118" s="2" t="n">
        <v>89</v>
      </c>
      <c r="C118" s="2" t="s">
        <v>30</v>
      </c>
      <c r="D118" s="2" t="s">
        <v>31</v>
      </c>
      <c r="E118" s="2" t="s">
        <v>59</v>
      </c>
      <c r="F118" s="2" t="s">
        <v>65</v>
      </c>
      <c r="G118" s="2" t="s">
        <v>77</v>
      </c>
      <c r="H118" s="2" t="s">
        <v>66</v>
      </c>
      <c r="I118" s="2" t="s">
        <v>378</v>
      </c>
      <c r="J118" s="2" t="n">
        <v>8</v>
      </c>
      <c r="K118" s="2" t="n">
        <v>12480.15</v>
      </c>
      <c r="L118" s="2" t="s">
        <v>21</v>
      </c>
      <c r="M118" s="2" t="n">
        <v>3.2</v>
      </c>
    </row>
    <row r="119" customFormat="false" ht="15" hidden="false" customHeight="false" outlineLevel="0" collapsed="false">
      <c r="A119" s="2" t="s">
        <v>379</v>
      </c>
      <c r="B119" s="2" t="n">
        <v>89</v>
      </c>
      <c r="C119" s="2" t="s">
        <v>14</v>
      </c>
      <c r="D119" s="2" t="s">
        <v>23</v>
      </c>
      <c r="E119" s="2" t="s">
        <v>37</v>
      </c>
      <c r="F119" s="2" t="s">
        <v>173</v>
      </c>
      <c r="G119" s="2" t="s">
        <v>86</v>
      </c>
      <c r="H119" s="2" t="s">
        <v>380</v>
      </c>
      <c r="I119" s="2" t="s">
        <v>381</v>
      </c>
      <c r="J119" s="2" t="n">
        <v>5</v>
      </c>
      <c r="K119" s="2" t="n">
        <v>9345.05</v>
      </c>
      <c r="L119" s="2" t="s">
        <v>57</v>
      </c>
      <c r="M119" s="2" t="n">
        <v>3.3</v>
      </c>
    </row>
    <row r="120" customFormat="false" ht="15" hidden="false" customHeight="false" outlineLevel="0" collapsed="false">
      <c r="A120" s="2" t="s">
        <v>382</v>
      </c>
      <c r="B120" s="2" t="n">
        <v>36</v>
      </c>
      <c r="C120" s="2" t="s">
        <v>30</v>
      </c>
      <c r="D120" s="2" t="s">
        <v>31</v>
      </c>
      <c r="E120" s="2" t="s">
        <v>16</v>
      </c>
      <c r="F120" s="2" t="s">
        <v>90</v>
      </c>
      <c r="G120" s="2" t="s">
        <v>86</v>
      </c>
      <c r="H120" s="2" t="s">
        <v>383</v>
      </c>
      <c r="I120" s="2" t="s">
        <v>384</v>
      </c>
      <c r="J120" s="2" t="n">
        <v>4</v>
      </c>
      <c r="K120" s="2" t="n">
        <v>9126.56</v>
      </c>
      <c r="L120" s="2" t="s">
        <v>21</v>
      </c>
      <c r="M120" s="2" t="n">
        <v>4.3</v>
      </c>
    </row>
    <row r="121" customFormat="false" ht="15" hidden="false" customHeight="false" outlineLevel="0" collapsed="false">
      <c r="A121" s="2" t="s">
        <v>385</v>
      </c>
      <c r="B121" s="2" t="n">
        <v>65</v>
      </c>
      <c r="C121" s="2" t="s">
        <v>30</v>
      </c>
      <c r="D121" s="2" t="s">
        <v>15</v>
      </c>
      <c r="E121" s="2" t="s">
        <v>24</v>
      </c>
      <c r="F121" s="2" t="s">
        <v>25</v>
      </c>
      <c r="G121" s="2" t="s">
        <v>86</v>
      </c>
      <c r="H121" s="2" t="s">
        <v>386</v>
      </c>
      <c r="I121" s="2" t="s">
        <v>387</v>
      </c>
      <c r="J121" s="2" t="n">
        <v>9</v>
      </c>
      <c r="K121" s="2" t="n">
        <v>22076.55</v>
      </c>
      <c r="L121" s="2" t="s">
        <v>21</v>
      </c>
      <c r="M121" s="2" t="n">
        <v>3.2</v>
      </c>
    </row>
    <row r="122" customFormat="false" ht="15" hidden="false" customHeight="false" outlineLevel="0" collapsed="false">
      <c r="A122" s="2" t="s">
        <v>388</v>
      </c>
      <c r="B122" s="2" t="n">
        <v>80</v>
      </c>
      <c r="C122" s="2" t="s">
        <v>30</v>
      </c>
      <c r="D122" s="2" t="s">
        <v>52</v>
      </c>
      <c r="E122" s="2" t="s">
        <v>59</v>
      </c>
      <c r="F122" s="2" t="s">
        <v>65</v>
      </c>
      <c r="G122" s="2" t="s">
        <v>26</v>
      </c>
      <c r="H122" s="2" t="s">
        <v>389</v>
      </c>
      <c r="I122" s="2" t="s">
        <v>373</v>
      </c>
      <c r="J122" s="2" t="n">
        <v>9</v>
      </c>
      <c r="K122" s="2" t="n">
        <v>10028.78</v>
      </c>
      <c r="L122" s="2" t="s">
        <v>97</v>
      </c>
      <c r="M122" s="2" t="n">
        <v>3.6</v>
      </c>
    </row>
    <row r="123" customFormat="false" ht="15" hidden="false" customHeight="false" outlineLevel="0" collapsed="false">
      <c r="A123" s="2" t="s">
        <v>390</v>
      </c>
      <c r="B123" s="2" t="n">
        <v>80</v>
      </c>
      <c r="C123" s="2" t="s">
        <v>30</v>
      </c>
      <c r="D123" s="2" t="s">
        <v>31</v>
      </c>
      <c r="E123" s="2" t="s">
        <v>16</v>
      </c>
      <c r="F123" s="2" t="s">
        <v>32</v>
      </c>
      <c r="G123" s="2" t="s">
        <v>26</v>
      </c>
      <c r="H123" s="2" t="s">
        <v>391</v>
      </c>
      <c r="I123" s="2" t="s">
        <v>392</v>
      </c>
      <c r="J123" s="2" t="n">
        <v>6</v>
      </c>
      <c r="K123" s="2" t="n">
        <v>9658.89</v>
      </c>
      <c r="L123" s="2" t="s">
        <v>21</v>
      </c>
      <c r="M123" s="2" t="n">
        <v>3.8</v>
      </c>
    </row>
    <row r="124" customFormat="false" ht="15" hidden="false" customHeight="false" outlineLevel="0" collapsed="false">
      <c r="A124" s="2" t="s">
        <v>393</v>
      </c>
      <c r="B124" s="2" t="n">
        <v>59</v>
      </c>
      <c r="C124" s="2" t="s">
        <v>14</v>
      </c>
      <c r="D124" s="2" t="s">
        <v>31</v>
      </c>
      <c r="E124" s="2" t="s">
        <v>53</v>
      </c>
      <c r="F124" s="2" t="s">
        <v>253</v>
      </c>
      <c r="G124" s="2" t="s">
        <v>18</v>
      </c>
      <c r="H124" s="2" t="s">
        <v>40</v>
      </c>
      <c r="I124" s="2" t="s">
        <v>394</v>
      </c>
      <c r="J124" s="2" t="n">
        <v>3</v>
      </c>
      <c r="K124" s="2" t="n">
        <v>3671.46</v>
      </c>
      <c r="L124" s="2" t="s">
        <v>21</v>
      </c>
      <c r="M124" s="2" t="n">
        <v>4.4</v>
      </c>
    </row>
    <row r="125" customFormat="false" ht="15" hidden="false" customHeight="false" outlineLevel="0" collapsed="false">
      <c r="A125" s="2" t="s">
        <v>395</v>
      </c>
      <c r="B125" s="2" t="n">
        <v>63</v>
      </c>
      <c r="C125" s="2" t="s">
        <v>14</v>
      </c>
      <c r="D125" s="2" t="s">
        <v>52</v>
      </c>
      <c r="E125" s="2" t="s">
        <v>37</v>
      </c>
      <c r="F125" s="2" t="s">
        <v>158</v>
      </c>
      <c r="G125" s="2" t="s">
        <v>77</v>
      </c>
      <c r="H125" s="2" t="s">
        <v>396</v>
      </c>
      <c r="I125" s="2" t="s">
        <v>397</v>
      </c>
      <c r="J125" s="2" t="n">
        <v>4</v>
      </c>
      <c r="K125" s="2" t="n">
        <v>7210.81</v>
      </c>
      <c r="L125" s="2" t="s">
        <v>21</v>
      </c>
      <c r="M125" s="2" t="n">
        <v>3</v>
      </c>
    </row>
    <row r="126" customFormat="false" ht="15" hidden="false" customHeight="false" outlineLevel="0" collapsed="false">
      <c r="A126" s="2" t="s">
        <v>398</v>
      </c>
      <c r="B126" s="2" t="n">
        <v>71</v>
      </c>
      <c r="C126" s="2" t="s">
        <v>30</v>
      </c>
      <c r="D126" s="2" t="s">
        <v>31</v>
      </c>
      <c r="E126" s="2" t="s">
        <v>53</v>
      </c>
      <c r="F126" s="2" t="s">
        <v>154</v>
      </c>
      <c r="G126" s="2" t="s">
        <v>33</v>
      </c>
      <c r="H126" s="2" t="s">
        <v>399</v>
      </c>
      <c r="I126" s="2" t="s">
        <v>400</v>
      </c>
      <c r="J126" s="2" t="n">
        <v>3</v>
      </c>
      <c r="K126" s="2" t="n">
        <v>4681.43</v>
      </c>
      <c r="L126" s="2" t="s">
        <v>57</v>
      </c>
      <c r="M126" s="2" t="n">
        <v>2.7</v>
      </c>
    </row>
    <row r="127" customFormat="false" ht="15" hidden="false" customHeight="false" outlineLevel="0" collapsed="false">
      <c r="A127" s="2" t="s">
        <v>401</v>
      </c>
      <c r="B127" s="2" t="n">
        <v>64</v>
      </c>
      <c r="C127" s="2" t="s">
        <v>14</v>
      </c>
      <c r="D127" s="2" t="s">
        <v>52</v>
      </c>
      <c r="E127" s="2" t="s">
        <v>42</v>
      </c>
      <c r="F127" s="2" t="s">
        <v>43</v>
      </c>
      <c r="G127" s="2" t="s">
        <v>77</v>
      </c>
      <c r="H127" s="2" t="s">
        <v>244</v>
      </c>
      <c r="I127" s="2" t="s">
        <v>402</v>
      </c>
      <c r="J127" s="2" t="n">
        <v>4</v>
      </c>
      <c r="K127" s="2" t="n">
        <v>10502.87</v>
      </c>
      <c r="L127" s="2" t="s">
        <v>57</v>
      </c>
      <c r="M127" s="2" t="n">
        <v>3.6</v>
      </c>
    </row>
    <row r="128" customFormat="false" ht="15" hidden="false" customHeight="false" outlineLevel="0" collapsed="false">
      <c r="A128" s="2" t="s">
        <v>403</v>
      </c>
      <c r="B128" s="2" t="n">
        <v>39</v>
      </c>
      <c r="C128" s="2" t="s">
        <v>14</v>
      </c>
      <c r="D128" s="2" t="s">
        <v>23</v>
      </c>
      <c r="E128" s="2" t="s">
        <v>37</v>
      </c>
      <c r="F128" s="2" t="s">
        <v>158</v>
      </c>
      <c r="G128" s="2" t="s">
        <v>26</v>
      </c>
      <c r="H128" s="2" t="s">
        <v>404</v>
      </c>
      <c r="I128" s="2" t="s">
        <v>405</v>
      </c>
      <c r="J128" s="2" t="n">
        <v>3</v>
      </c>
      <c r="K128" s="2" t="n">
        <v>7357.09</v>
      </c>
      <c r="L128" s="2" t="s">
        <v>21</v>
      </c>
      <c r="M128" s="2" t="n">
        <v>4.8</v>
      </c>
    </row>
    <row r="129" customFormat="false" ht="15" hidden="false" customHeight="false" outlineLevel="0" collapsed="false">
      <c r="A129" s="2" t="s">
        <v>406</v>
      </c>
      <c r="B129" s="2" t="n">
        <v>36</v>
      </c>
      <c r="C129" s="2" t="s">
        <v>14</v>
      </c>
      <c r="D129" s="2" t="s">
        <v>31</v>
      </c>
      <c r="E129" s="2" t="s">
        <v>16</v>
      </c>
      <c r="F129" s="2" t="s">
        <v>47</v>
      </c>
      <c r="G129" s="2" t="s">
        <v>18</v>
      </c>
      <c r="H129" s="2" t="s">
        <v>407</v>
      </c>
      <c r="I129" s="2" t="s">
        <v>400</v>
      </c>
      <c r="J129" s="2" t="n">
        <v>1</v>
      </c>
      <c r="K129" s="2" t="n">
        <v>6140.07</v>
      </c>
      <c r="L129" s="2" t="s">
        <v>21</v>
      </c>
      <c r="M129" s="2" t="n">
        <v>4.3</v>
      </c>
    </row>
    <row r="130" customFormat="false" ht="15" hidden="false" customHeight="false" outlineLevel="0" collapsed="false">
      <c r="A130" s="2" t="s">
        <v>408</v>
      </c>
      <c r="B130" s="2" t="n">
        <v>81</v>
      </c>
      <c r="C130" s="2" t="s">
        <v>30</v>
      </c>
      <c r="D130" s="2" t="s">
        <v>23</v>
      </c>
      <c r="E130" s="2" t="s">
        <v>24</v>
      </c>
      <c r="F130" s="2" t="s">
        <v>94</v>
      </c>
      <c r="G130" s="2" t="s">
        <v>48</v>
      </c>
      <c r="H130" s="2" t="s">
        <v>336</v>
      </c>
      <c r="I130" s="2" t="s">
        <v>167</v>
      </c>
      <c r="J130" s="2" t="n">
        <v>12</v>
      </c>
      <c r="K130" s="2" t="n">
        <v>14315.79</v>
      </c>
      <c r="L130" s="2" t="s">
        <v>21</v>
      </c>
      <c r="M130" s="2" t="n">
        <v>1.6</v>
      </c>
    </row>
    <row r="131" customFormat="false" ht="15" hidden="false" customHeight="false" outlineLevel="0" collapsed="false">
      <c r="A131" s="2" t="s">
        <v>409</v>
      </c>
      <c r="B131" s="2" t="n">
        <v>58</v>
      </c>
      <c r="C131" s="2" t="s">
        <v>14</v>
      </c>
      <c r="D131" s="2" t="s">
        <v>52</v>
      </c>
      <c r="E131" s="2" t="s">
        <v>42</v>
      </c>
      <c r="F131" s="2" t="s">
        <v>108</v>
      </c>
      <c r="G131" s="2" t="s">
        <v>77</v>
      </c>
      <c r="H131" s="2" t="s">
        <v>410</v>
      </c>
      <c r="I131" s="2" t="s">
        <v>411</v>
      </c>
      <c r="J131" s="2" t="n">
        <v>4</v>
      </c>
      <c r="K131" s="2" t="n">
        <v>11388.06</v>
      </c>
      <c r="L131" s="2" t="s">
        <v>21</v>
      </c>
      <c r="M131" s="2" t="n">
        <v>3</v>
      </c>
    </row>
    <row r="132" customFormat="false" ht="15" hidden="false" customHeight="false" outlineLevel="0" collapsed="false">
      <c r="A132" s="2" t="s">
        <v>412</v>
      </c>
      <c r="B132" s="2" t="n">
        <v>75</v>
      </c>
      <c r="C132" s="2" t="s">
        <v>14</v>
      </c>
      <c r="D132" s="2" t="s">
        <v>31</v>
      </c>
      <c r="E132" s="2" t="s">
        <v>59</v>
      </c>
      <c r="F132" s="2" t="s">
        <v>202</v>
      </c>
      <c r="G132" s="2" t="s">
        <v>86</v>
      </c>
      <c r="H132" s="2" t="s">
        <v>129</v>
      </c>
      <c r="I132" s="2" t="s">
        <v>413</v>
      </c>
      <c r="J132" s="2" t="n">
        <v>6</v>
      </c>
      <c r="K132" s="2" t="n">
        <v>10958.93</v>
      </c>
      <c r="L132" s="2" t="s">
        <v>21</v>
      </c>
      <c r="M132" s="2" t="n">
        <v>2.5</v>
      </c>
    </row>
    <row r="133" customFormat="false" ht="15" hidden="false" customHeight="false" outlineLevel="0" collapsed="false">
      <c r="A133" s="2" t="s">
        <v>414</v>
      </c>
      <c r="B133" s="2" t="n">
        <v>82</v>
      </c>
      <c r="C133" s="2" t="s">
        <v>30</v>
      </c>
      <c r="D133" s="2" t="s">
        <v>52</v>
      </c>
      <c r="E133" s="2" t="s">
        <v>24</v>
      </c>
      <c r="F133" s="2" t="s">
        <v>25</v>
      </c>
      <c r="G133" s="2" t="s">
        <v>77</v>
      </c>
      <c r="H133" s="2" t="s">
        <v>415</v>
      </c>
      <c r="I133" s="2" t="s">
        <v>254</v>
      </c>
      <c r="J133" s="2" t="n">
        <v>7</v>
      </c>
      <c r="K133" s="2" t="n">
        <v>15644.45</v>
      </c>
      <c r="L133" s="2" t="s">
        <v>21</v>
      </c>
      <c r="M133" s="2" t="n">
        <v>3.6</v>
      </c>
    </row>
    <row r="134" customFormat="false" ht="15" hidden="false" customHeight="false" outlineLevel="0" collapsed="false">
      <c r="A134" s="2" t="s">
        <v>416</v>
      </c>
      <c r="B134" s="2" t="n">
        <v>31</v>
      </c>
      <c r="C134" s="2" t="s">
        <v>30</v>
      </c>
      <c r="D134" s="2" t="s">
        <v>31</v>
      </c>
      <c r="E134" s="2" t="s">
        <v>24</v>
      </c>
      <c r="F134" s="2" t="s">
        <v>147</v>
      </c>
      <c r="G134" s="2" t="s">
        <v>86</v>
      </c>
      <c r="H134" s="2" t="s">
        <v>99</v>
      </c>
      <c r="I134" s="2" t="s">
        <v>100</v>
      </c>
      <c r="J134" s="2" t="n">
        <v>8</v>
      </c>
      <c r="K134" s="2" t="n">
        <v>15777.42</v>
      </c>
      <c r="L134" s="2" t="s">
        <v>21</v>
      </c>
      <c r="M134" s="2" t="n">
        <v>1.3</v>
      </c>
    </row>
    <row r="135" customFormat="false" ht="15" hidden="false" customHeight="false" outlineLevel="0" collapsed="false">
      <c r="A135" s="2" t="s">
        <v>417</v>
      </c>
      <c r="B135" s="2" t="n">
        <v>38</v>
      </c>
      <c r="C135" s="2" t="s">
        <v>30</v>
      </c>
      <c r="D135" s="2" t="s">
        <v>15</v>
      </c>
      <c r="E135" s="2" t="s">
        <v>59</v>
      </c>
      <c r="F135" s="2" t="s">
        <v>85</v>
      </c>
      <c r="G135" s="2" t="s">
        <v>77</v>
      </c>
      <c r="H135" s="2" t="s">
        <v>418</v>
      </c>
      <c r="I135" s="2" t="s">
        <v>419</v>
      </c>
      <c r="J135" s="2" t="n">
        <v>5</v>
      </c>
      <c r="K135" s="2" t="n">
        <v>8397.72</v>
      </c>
      <c r="L135" s="2" t="s">
        <v>21</v>
      </c>
      <c r="M135" s="2" t="n">
        <v>3.2</v>
      </c>
    </row>
    <row r="136" customFormat="false" ht="15" hidden="false" customHeight="false" outlineLevel="0" collapsed="false">
      <c r="A136" s="2" t="s">
        <v>420</v>
      </c>
      <c r="B136" s="2" t="n">
        <v>89</v>
      </c>
      <c r="C136" s="2" t="s">
        <v>30</v>
      </c>
      <c r="D136" s="2" t="s">
        <v>15</v>
      </c>
      <c r="E136" s="2" t="s">
        <v>59</v>
      </c>
      <c r="F136" s="2" t="s">
        <v>65</v>
      </c>
      <c r="G136" s="2" t="s">
        <v>33</v>
      </c>
      <c r="H136" s="2" t="s">
        <v>127</v>
      </c>
      <c r="I136" s="2" t="s">
        <v>421</v>
      </c>
      <c r="J136" s="2" t="n">
        <v>8</v>
      </c>
      <c r="K136" s="2" t="n">
        <v>9348.18</v>
      </c>
      <c r="L136" s="2" t="s">
        <v>21</v>
      </c>
      <c r="M136" s="2" t="n">
        <v>3.2</v>
      </c>
    </row>
    <row r="137" customFormat="false" ht="15" hidden="false" customHeight="false" outlineLevel="0" collapsed="false">
      <c r="A137" s="2" t="s">
        <v>422</v>
      </c>
      <c r="B137" s="2" t="n">
        <v>68</v>
      </c>
      <c r="C137" s="2" t="s">
        <v>14</v>
      </c>
      <c r="D137" s="2" t="s">
        <v>23</v>
      </c>
      <c r="E137" s="2" t="s">
        <v>37</v>
      </c>
      <c r="F137" s="2" t="s">
        <v>158</v>
      </c>
      <c r="G137" s="2" t="s">
        <v>33</v>
      </c>
      <c r="H137" s="2" t="s">
        <v>423</v>
      </c>
      <c r="I137" s="2" t="s">
        <v>424</v>
      </c>
      <c r="J137" s="2" t="n">
        <v>3</v>
      </c>
      <c r="K137" s="2" t="n">
        <v>8063.07</v>
      </c>
      <c r="L137" s="2" t="s">
        <v>57</v>
      </c>
      <c r="M137" s="2" t="n">
        <v>3</v>
      </c>
    </row>
    <row r="138" customFormat="false" ht="15" hidden="false" customHeight="false" outlineLevel="0" collapsed="false">
      <c r="A138" s="2" t="s">
        <v>425</v>
      </c>
      <c r="B138" s="2" t="n">
        <v>85</v>
      </c>
      <c r="C138" s="2" t="s">
        <v>14</v>
      </c>
      <c r="D138" s="2" t="s">
        <v>52</v>
      </c>
      <c r="E138" s="2" t="s">
        <v>24</v>
      </c>
      <c r="F138" s="2" t="s">
        <v>372</v>
      </c>
      <c r="G138" s="2" t="s">
        <v>86</v>
      </c>
      <c r="H138" s="2" t="s">
        <v>310</v>
      </c>
      <c r="I138" s="2" t="s">
        <v>426</v>
      </c>
      <c r="J138" s="2" t="n">
        <v>5</v>
      </c>
      <c r="K138" s="2" t="n">
        <v>14335.02</v>
      </c>
      <c r="L138" s="2" t="s">
        <v>21</v>
      </c>
      <c r="M138" s="2" t="n">
        <v>5</v>
      </c>
    </row>
    <row r="139" customFormat="false" ht="15" hidden="false" customHeight="false" outlineLevel="0" collapsed="false">
      <c r="A139" s="2" t="s">
        <v>427</v>
      </c>
      <c r="B139" s="2" t="n">
        <v>80</v>
      </c>
      <c r="C139" s="2" t="s">
        <v>14</v>
      </c>
      <c r="D139" s="2" t="s">
        <v>64</v>
      </c>
      <c r="E139" s="2" t="s">
        <v>16</v>
      </c>
      <c r="F139" s="2" t="s">
        <v>17</v>
      </c>
      <c r="G139" s="2" t="s">
        <v>86</v>
      </c>
      <c r="H139" s="2" t="s">
        <v>428</v>
      </c>
      <c r="I139" s="2" t="s">
        <v>429</v>
      </c>
      <c r="J139" s="2" t="n">
        <v>5</v>
      </c>
      <c r="K139" s="2" t="n">
        <v>8648.66</v>
      </c>
      <c r="L139" s="2" t="s">
        <v>57</v>
      </c>
      <c r="M139" s="2" t="n">
        <v>4.3</v>
      </c>
    </row>
    <row r="140" customFormat="false" ht="15" hidden="false" customHeight="false" outlineLevel="0" collapsed="false">
      <c r="A140" s="2" t="s">
        <v>430</v>
      </c>
      <c r="B140" s="2" t="n">
        <v>22</v>
      </c>
      <c r="C140" s="2" t="s">
        <v>30</v>
      </c>
      <c r="D140" s="2" t="s">
        <v>23</v>
      </c>
      <c r="E140" s="2" t="s">
        <v>16</v>
      </c>
      <c r="F140" s="2" t="s">
        <v>32</v>
      </c>
      <c r="G140" s="2" t="s">
        <v>18</v>
      </c>
      <c r="H140" s="2" t="s">
        <v>431</v>
      </c>
      <c r="I140" s="2" t="s">
        <v>432</v>
      </c>
      <c r="J140" s="2" t="n">
        <v>1</v>
      </c>
      <c r="K140" s="2" t="n">
        <v>8531.4</v>
      </c>
      <c r="L140" s="2" t="s">
        <v>21</v>
      </c>
      <c r="M140" s="2" t="n">
        <v>4.7</v>
      </c>
    </row>
    <row r="141" customFormat="false" ht="15" hidden="false" customHeight="false" outlineLevel="0" collapsed="false">
      <c r="A141" s="2" t="s">
        <v>433</v>
      </c>
      <c r="B141" s="2" t="n">
        <v>39</v>
      </c>
      <c r="C141" s="2" t="s">
        <v>30</v>
      </c>
      <c r="D141" s="2" t="s">
        <v>31</v>
      </c>
      <c r="E141" s="2" t="s">
        <v>53</v>
      </c>
      <c r="F141" s="2" t="s">
        <v>54</v>
      </c>
      <c r="G141" s="2" t="s">
        <v>48</v>
      </c>
      <c r="H141" s="2" t="s">
        <v>434</v>
      </c>
      <c r="I141" s="2" t="s">
        <v>435</v>
      </c>
      <c r="J141" s="2" t="n">
        <v>4</v>
      </c>
      <c r="K141" s="2" t="n">
        <v>4633.06</v>
      </c>
      <c r="L141" s="2" t="s">
        <v>97</v>
      </c>
      <c r="M141" s="2" t="n">
        <v>3.7</v>
      </c>
    </row>
    <row r="142" customFormat="false" ht="15" hidden="false" customHeight="false" outlineLevel="0" collapsed="false">
      <c r="A142" s="2" t="s">
        <v>436</v>
      </c>
      <c r="B142" s="2" t="n">
        <v>48</v>
      </c>
      <c r="C142" s="2" t="s">
        <v>30</v>
      </c>
      <c r="D142" s="2" t="s">
        <v>52</v>
      </c>
      <c r="E142" s="2" t="s">
        <v>16</v>
      </c>
      <c r="F142" s="2" t="s">
        <v>47</v>
      </c>
      <c r="G142" s="2" t="s">
        <v>48</v>
      </c>
      <c r="H142" s="2" t="s">
        <v>437</v>
      </c>
      <c r="I142" s="2" t="s">
        <v>438</v>
      </c>
      <c r="J142" s="2" t="n">
        <v>2</v>
      </c>
      <c r="K142" s="2" t="n">
        <v>9594.96</v>
      </c>
      <c r="L142" s="2" t="s">
        <v>21</v>
      </c>
      <c r="M142" s="2" t="n">
        <v>3.6</v>
      </c>
    </row>
    <row r="143" customFormat="false" ht="15" hidden="false" customHeight="false" outlineLevel="0" collapsed="false">
      <c r="A143" s="2" t="s">
        <v>439</v>
      </c>
      <c r="B143" s="2" t="n">
        <v>66</v>
      </c>
      <c r="C143" s="2" t="s">
        <v>30</v>
      </c>
      <c r="D143" s="2" t="s">
        <v>64</v>
      </c>
      <c r="E143" s="2" t="s">
        <v>16</v>
      </c>
      <c r="F143" s="2" t="s">
        <v>17</v>
      </c>
      <c r="G143" s="2" t="s">
        <v>33</v>
      </c>
      <c r="H143" s="2" t="s">
        <v>440</v>
      </c>
      <c r="I143" s="2" t="s">
        <v>441</v>
      </c>
      <c r="J143" s="2" t="n">
        <v>1</v>
      </c>
      <c r="K143" s="2" t="n">
        <v>5327.33</v>
      </c>
      <c r="L143" s="2" t="s">
        <v>21</v>
      </c>
      <c r="M143" s="2" t="n">
        <v>4.8</v>
      </c>
    </row>
    <row r="144" customFormat="false" ht="15" hidden="false" customHeight="false" outlineLevel="0" collapsed="false">
      <c r="A144" s="2" t="s">
        <v>442</v>
      </c>
      <c r="B144" s="2" t="n">
        <v>33</v>
      </c>
      <c r="C144" s="2" t="s">
        <v>30</v>
      </c>
      <c r="D144" s="2" t="s">
        <v>31</v>
      </c>
      <c r="E144" s="2" t="s">
        <v>16</v>
      </c>
      <c r="F144" s="2" t="s">
        <v>47</v>
      </c>
      <c r="G144" s="2" t="s">
        <v>77</v>
      </c>
      <c r="H144" s="2" t="s">
        <v>405</v>
      </c>
      <c r="I144" s="2" t="s">
        <v>443</v>
      </c>
      <c r="J144" s="2" t="n">
        <v>5</v>
      </c>
      <c r="K144" s="2" t="n">
        <v>10128.61</v>
      </c>
      <c r="L144" s="2" t="s">
        <v>119</v>
      </c>
      <c r="M144" s="2"/>
    </row>
    <row r="145" customFormat="false" ht="15" hidden="false" customHeight="false" outlineLevel="0" collapsed="false">
      <c r="A145" s="2" t="s">
        <v>444</v>
      </c>
      <c r="B145" s="2" t="n">
        <v>46</v>
      </c>
      <c r="C145" s="2" t="s">
        <v>30</v>
      </c>
      <c r="D145" s="2" t="s">
        <v>15</v>
      </c>
      <c r="E145" s="2" t="s">
        <v>42</v>
      </c>
      <c r="F145" s="2" t="s">
        <v>108</v>
      </c>
      <c r="G145" s="2" t="s">
        <v>86</v>
      </c>
      <c r="H145" s="2" t="s">
        <v>200</v>
      </c>
      <c r="I145" s="2" t="s">
        <v>445</v>
      </c>
      <c r="J145" s="2" t="n">
        <v>6</v>
      </c>
      <c r="K145" s="2" t="n">
        <v>9653.41</v>
      </c>
      <c r="L145" s="2" t="s">
        <v>119</v>
      </c>
      <c r="M145" s="2"/>
    </row>
    <row r="146" customFormat="false" ht="15" hidden="false" customHeight="false" outlineLevel="0" collapsed="false">
      <c r="A146" s="2" t="s">
        <v>446</v>
      </c>
      <c r="B146" s="2" t="n">
        <v>65</v>
      </c>
      <c r="C146" s="2" t="s">
        <v>14</v>
      </c>
      <c r="D146" s="2" t="s">
        <v>31</v>
      </c>
      <c r="E146" s="2" t="s">
        <v>59</v>
      </c>
      <c r="F146" s="2" t="s">
        <v>60</v>
      </c>
      <c r="G146" s="2" t="s">
        <v>48</v>
      </c>
      <c r="H146" s="2" t="s">
        <v>447</v>
      </c>
      <c r="I146" s="2" t="s">
        <v>184</v>
      </c>
      <c r="J146" s="2" t="n">
        <v>6</v>
      </c>
      <c r="K146" s="2" t="n">
        <v>8809.78</v>
      </c>
      <c r="L146" s="2" t="s">
        <v>21</v>
      </c>
      <c r="M146" s="2" t="n">
        <v>3.8</v>
      </c>
    </row>
    <row r="147" customFormat="false" ht="15" hidden="false" customHeight="false" outlineLevel="0" collapsed="false">
      <c r="A147" s="2" t="s">
        <v>448</v>
      </c>
      <c r="B147" s="2" t="n">
        <v>78</v>
      </c>
      <c r="C147" s="2" t="s">
        <v>14</v>
      </c>
      <c r="D147" s="2" t="s">
        <v>52</v>
      </c>
      <c r="E147" s="2" t="s">
        <v>53</v>
      </c>
      <c r="F147" s="2" t="s">
        <v>154</v>
      </c>
      <c r="G147" s="2" t="s">
        <v>86</v>
      </c>
      <c r="H147" s="2" t="s">
        <v>396</v>
      </c>
      <c r="I147" s="2" t="s">
        <v>449</v>
      </c>
      <c r="J147" s="2" t="n">
        <v>2</v>
      </c>
      <c r="K147" s="2" t="n">
        <v>5214.01</v>
      </c>
      <c r="L147" s="2" t="s">
        <v>21</v>
      </c>
      <c r="M147" s="2" t="n">
        <v>3.6</v>
      </c>
    </row>
    <row r="148" customFormat="false" ht="15" hidden="false" customHeight="false" outlineLevel="0" collapsed="false">
      <c r="A148" s="2" t="s">
        <v>450</v>
      </c>
      <c r="B148" s="2" t="n">
        <v>32</v>
      </c>
      <c r="C148" s="2" t="s">
        <v>30</v>
      </c>
      <c r="D148" s="2" t="s">
        <v>64</v>
      </c>
      <c r="E148" s="2" t="s">
        <v>59</v>
      </c>
      <c r="F148" s="2" t="s">
        <v>60</v>
      </c>
      <c r="G148" s="2" t="s">
        <v>86</v>
      </c>
      <c r="H148" s="2" t="s">
        <v>193</v>
      </c>
      <c r="I148" s="2" t="s">
        <v>435</v>
      </c>
      <c r="J148" s="2" t="n">
        <v>3</v>
      </c>
      <c r="K148" s="2" t="n">
        <v>5883.14</v>
      </c>
      <c r="L148" s="2" t="s">
        <v>21</v>
      </c>
      <c r="M148" s="2" t="n">
        <v>4.3</v>
      </c>
    </row>
    <row r="149" customFormat="false" ht="15" hidden="false" customHeight="false" outlineLevel="0" collapsed="false">
      <c r="A149" s="2" t="s">
        <v>451</v>
      </c>
      <c r="B149" s="2" t="n">
        <v>32</v>
      </c>
      <c r="C149" s="2" t="s">
        <v>30</v>
      </c>
      <c r="D149" s="2" t="s">
        <v>23</v>
      </c>
      <c r="E149" s="2" t="s">
        <v>24</v>
      </c>
      <c r="F149" s="2" t="s">
        <v>25</v>
      </c>
      <c r="G149" s="2" t="s">
        <v>48</v>
      </c>
      <c r="H149" s="2" t="s">
        <v>178</v>
      </c>
      <c r="I149" s="2" t="s">
        <v>273</v>
      </c>
      <c r="J149" s="2" t="n">
        <v>4</v>
      </c>
      <c r="K149" s="2" t="n">
        <v>14430</v>
      </c>
      <c r="L149" s="2" t="s">
        <v>21</v>
      </c>
      <c r="M149" s="2" t="n">
        <v>4.3</v>
      </c>
    </row>
    <row r="150" customFormat="false" ht="15" hidden="false" customHeight="false" outlineLevel="0" collapsed="false">
      <c r="A150" s="2" t="s">
        <v>452</v>
      </c>
      <c r="B150" s="2" t="n">
        <v>71</v>
      </c>
      <c r="C150" s="2" t="s">
        <v>14</v>
      </c>
      <c r="D150" s="2" t="s">
        <v>31</v>
      </c>
      <c r="E150" s="2" t="s">
        <v>24</v>
      </c>
      <c r="F150" s="2" t="s">
        <v>372</v>
      </c>
      <c r="G150" s="2" t="s">
        <v>86</v>
      </c>
      <c r="H150" s="2" t="s">
        <v>453</v>
      </c>
      <c r="I150" s="2" t="s">
        <v>454</v>
      </c>
      <c r="J150" s="2" t="n">
        <v>8</v>
      </c>
      <c r="K150" s="2" t="n">
        <v>13129.59</v>
      </c>
      <c r="L150" s="2" t="s">
        <v>21</v>
      </c>
      <c r="M150" s="2" t="n">
        <v>3.1</v>
      </c>
    </row>
    <row r="151" customFormat="false" ht="15" hidden="false" customHeight="false" outlineLevel="0" collapsed="false">
      <c r="A151" s="2" t="s">
        <v>455</v>
      </c>
      <c r="B151" s="2" t="n">
        <v>20</v>
      </c>
      <c r="C151" s="2" t="s">
        <v>30</v>
      </c>
      <c r="D151" s="2" t="s">
        <v>52</v>
      </c>
      <c r="E151" s="2" t="s">
        <v>42</v>
      </c>
      <c r="F151" s="2" t="s">
        <v>108</v>
      </c>
      <c r="G151" s="2" t="s">
        <v>33</v>
      </c>
      <c r="H151" s="2" t="s">
        <v>456</v>
      </c>
      <c r="I151" s="2" t="s">
        <v>457</v>
      </c>
      <c r="J151" s="2" t="n">
        <v>4</v>
      </c>
      <c r="K151" s="2" t="n">
        <v>8502.31</v>
      </c>
      <c r="L151" s="2" t="s">
        <v>21</v>
      </c>
      <c r="M151" s="2" t="n">
        <v>3.7</v>
      </c>
    </row>
    <row r="152" customFormat="false" ht="15" hidden="false" customHeight="false" outlineLevel="0" collapsed="false">
      <c r="A152" s="2" t="s">
        <v>458</v>
      </c>
      <c r="B152" s="2" t="n">
        <v>31</v>
      </c>
      <c r="C152" s="2" t="s">
        <v>30</v>
      </c>
      <c r="D152" s="2" t="s">
        <v>64</v>
      </c>
      <c r="E152" s="2" t="s">
        <v>42</v>
      </c>
      <c r="F152" s="2" t="s">
        <v>81</v>
      </c>
      <c r="G152" s="2" t="s">
        <v>26</v>
      </c>
      <c r="H152" s="2" t="s">
        <v>418</v>
      </c>
      <c r="I152" s="2" t="s">
        <v>110</v>
      </c>
      <c r="J152" s="2" t="n">
        <v>7</v>
      </c>
      <c r="K152" s="2" t="n">
        <v>11709.81</v>
      </c>
      <c r="L152" s="2" t="s">
        <v>57</v>
      </c>
      <c r="M152" s="2" t="n">
        <v>3</v>
      </c>
    </row>
    <row r="153" customFormat="false" ht="15" hidden="false" customHeight="false" outlineLevel="0" collapsed="false">
      <c r="A153" s="2" t="s">
        <v>459</v>
      </c>
      <c r="B153" s="2" t="n">
        <v>77</v>
      </c>
      <c r="C153" s="2" t="s">
        <v>30</v>
      </c>
      <c r="D153" s="2" t="s">
        <v>64</v>
      </c>
      <c r="E153" s="2" t="s">
        <v>16</v>
      </c>
      <c r="F153" s="2" t="s">
        <v>90</v>
      </c>
      <c r="G153" s="2" t="s">
        <v>48</v>
      </c>
      <c r="H153" s="2" t="s">
        <v>460</v>
      </c>
      <c r="I153" s="2" t="s">
        <v>461</v>
      </c>
      <c r="J153" s="2" t="n">
        <v>6</v>
      </c>
      <c r="K153" s="2" t="n">
        <v>9822.52</v>
      </c>
      <c r="L153" s="2" t="s">
        <v>57</v>
      </c>
      <c r="M153" s="2" t="n">
        <v>4</v>
      </c>
    </row>
    <row r="154" customFormat="false" ht="15" hidden="false" customHeight="false" outlineLevel="0" collapsed="false">
      <c r="A154" s="2" t="s">
        <v>462</v>
      </c>
      <c r="B154" s="2" t="n">
        <v>57</v>
      </c>
      <c r="C154" s="2" t="s">
        <v>30</v>
      </c>
      <c r="D154" s="2" t="s">
        <v>23</v>
      </c>
      <c r="E154" s="2" t="s">
        <v>53</v>
      </c>
      <c r="F154" s="2" t="s">
        <v>54</v>
      </c>
      <c r="G154" s="2" t="s">
        <v>86</v>
      </c>
      <c r="H154" s="2" t="s">
        <v>463</v>
      </c>
      <c r="I154" s="2" t="s">
        <v>464</v>
      </c>
      <c r="J154" s="2" t="n">
        <v>1</v>
      </c>
      <c r="K154" s="2" t="n">
        <v>3817.52</v>
      </c>
      <c r="L154" s="2" t="s">
        <v>97</v>
      </c>
      <c r="M154" s="2" t="n">
        <v>4.4</v>
      </c>
    </row>
    <row r="155" customFormat="false" ht="15" hidden="false" customHeight="false" outlineLevel="0" collapsed="false">
      <c r="A155" s="2" t="s">
        <v>465</v>
      </c>
      <c r="B155" s="2" t="n">
        <v>60</v>
      </c>
      <c r="C155" s="2" t="s">
        <v>30</v>
      </c>
      <c r="D155" s="2" t="s">
        <v>31</v>
      </c>
      <c r="E155" s="2" t="s">
        <v>59</v>
      </c>
      <c r="F155" s="2" t="s">
        <v>85</v>
      </c>
      <c r="G155" s="2" t="s">
        <v>77</v>
      </c>
      <c r="H155" s="2" t="s">
        <v>466</v>
      </c>
      <c r="I155" s="2" t="s">
        <v>294</v>
      </c>
      <c r="J155" s="2" t="n">
        <v>7</v>
      </c>
      <c r="K155" s="2" t="n">
        <v>8773.41</v>
      </c>
      <c r="L155" s="2" t="s">
        <v>119</v>
      </c>
      <c r="M155" s="2"/>
    </row>
    <row r="156" customFormat="false" ht="15" hidden="false" customHeight="false" outlineLevel="0" collapsed="false">
      <c r="A156" s="2" t="s">
        <v>467</v>
      </c>
      <c r="B156" s="2" t="n">
        <v>81</v>
      </c>
      <c r="C156" s="2" t="s">
        <v>30</v>
      </c>
      <c r="D156" s="2" t="s">
        <v>15</v>
      </c>
      <c r="E156" s="2" t="s">
        <v>24</v>
      </c>
      <c r="F156" s="2" t="s">
        <v>372</v>
      </c>
      <c r="G156" s="2" t="s">
        <v>86</v>
      </c>
      <c r="H156" s="2" t="s">
        <v>468</v>
      </c>
      <c r="I156" s="2" t="s">
        <v>469</v>
      </c>
      <c r="J156" s="2" t="n">
        <v>11</v>
      </c>
      <c r="K156" s="2" t="n">
        <v>21338.93</v>
      </c>
      <c r="L156" s="2" t="s">
        <v>57</v>
      </c>
      <c r="M156" s="2" t="n">
        <v>2.7</v>
      </c>
    </row>
    <row r="157" customFormat="false" ht="15" hidden="false" customHeight="false" outlineLevel="0" collapsed="false">
      <c r="A157" s="2" t="s">
        <v>470</v>
      </c>
      <c r="B157" s="2" t="n">
        <v>28</v>
      </c>
      <c r="C157" s="2" t="s">
        <v>30</v>
      </c>
      <c r="D157" s="2" t="s">
        <v>15</v>
      </c>
      <c r="E157" s="2" t="s">
        <v>59</v>
      </c>
      <c r="F157" s="2" t="s">
        <v>85</v>
      </c>
      <c r="G157" s="2" t="s">
        <v>26</v>
      </c>
      <c r="H157" s="2" t="s">
        <v>471</v>
      </c>
      <c r="I157" s="2" t="s">
        <v>142</v>
      </c>
      <c r="J157" s="2" t="n">
        <v>4</v>
      </c>
      <c r="K157" s="2" t="n">
        <v>9136.85</v>
      </c>
      <c r="L157" s="2" t="s">
        <v>21</v>
      </c>
      <c r="M157" s="2" t="n">
        <v>4.3</v>
      </c>
    </row>
    <row r="158" customFormat="false" ht="15" hidden="false" customHeight="false" outlineLevel="0" collapsed="false">
      <c r="A158" s="2" t="s">
        <v>472</v>
      </c>
      <c r="B158" s="2" t="n">
        <v>63</v>
      </c>
      <c r="C158" s="2" t="s">
        <v>30</v>
      </c>
      <c r="D158" s="2" t="s">
        <v>15</v>
      </c>
      <c r="E158" s="2" t="s">
        <v>37</v>
      </c>
      <c r="F158" s="2" t="s">
        <v>158</v>
      </c>
      <c r="G158" s="2" t="s">
        <v>86</v>
      </c>
      <c r="H158" s="2" t="s">
        <v>473</v>
      </c>
      <c r="I158" s="2" t="s">
        <v>474</v>
      </c>
      <c r="J158" s="2" t="n">
        <v>4</v>
      </c>
      <c r="K158" s="2" t="n">
        <v>6305.12</v>
      </c>
      <c r="L158" s="2" t="s">
        <v>57</v>
      </c>
      <c r="M158" s="2" t="n">
        <v>2.9</v>
      </c>
    </row>
    <row r="159" customFormat="false" ht="15" hidden="false" customHeight="false" outlineLevel="0" collapsed="false">
      <c r="A159" s="2" t="s">
        <v>475</v>
      </c>
      <c r="B159" s="2" t="n">
        <v>36</v>
      </c>
      <c r="C159" s="2" t="s">
        <v>30</v>
      </c>
      <c r="D159" s="2" t="s">
        <v>31</v>
      </c>
      <c r="E159" s="2" t="s">
        <v>16</v>
      </c>
      <c r="F159" s="2" t="s">
        <v>90</v>
      </c>
      <c r="G159" s="2" t="s">
        <v>18</v>
      </c>
      <c r="H159" s="2" t="s">
        <v>129</v>
      </c>
      <c r="I159" s="2" t="s">
        <v>130</v>
      </c>
      <c r="J159" s="2" t="n">
        <v>1</v>
      </c>
      <c r="K159" s="2" t="n">
        <v>6655.55</v>
      </c>
      <c r="L159" s="2" t="s">
        <v>21</v>
      </c>
      <c r="M159" s="2" t="n">
        <v>4.3</v>
      </c>
    </row>
    <row r="160" customFormat="false" ht="15" hidden="false" customHeight="false" outlineLevel="0" collapsed="false">
      <c r="A160" s="2" t="s">
        <v>476</v>
      </c>
      <c r="B160" s="2" t="n">
        <v>37</v>
      </c>
      <c r="C160" s="2" t="s">
        <v>30</v>
      </c>
      <c r="D160" s="2" t="s">
        <v>15</v>
      </c>
      <c r="E160" s="2" t="s">
        <v>59</v>
      </c>
      <c r="F160" s="2" t="s">
        <v>85</v>
      </c>
      <c r="G160" s="2" t="s">
        <v>86</v>
      </c>
      <c r="H160" s="2" t="s">
        <v>477</v>
      </c>
      <c r="I160" s="2" t="s">
        <v>325</v>
      </c>
      <c r="J160" s="2" t="n">
        <v>6</v>
      </c>
      <c r="K160" s="2" t="n">
        <v>10189.94</v>
      </c>
      <c r="L160" s="2" t="s">
        <v>21</v>
      </c>
      <c r="M160" s="2" t="n">
        <v>3.2</v>
      </c>
    </row>
    <row r="161" customFormat="false" ht="15" hidden="false" customHeight="false" outlineLevel="0" collapsed="false">
      <c r="A161" s="2" t="s">
        <v>478</v>
      </c>
      <c r="B161" s="2" t="n">
        <v>21</v>
      </c>
      <c r="C161" s="2" t="s">
        <v>14</v>
      </c>
      <c r="D161" s="2" t="s">
        <v>52</v>
      </c>
      <c r="E161" s="2" t="s">
        <v>24</v>
      </c>
      <c r="F161" s="2" t="s">
        <v>94</v>
      </c>
      <c r="G161" s="2" t="s">
        <v>26</v>
      </c>
      <c r="H161" s="2" t="s">
        <v>88</v>
      </c>
      <c r="I161" s="2" t="s">
        <v>40</v>
      </c>
      <c r="J161" s="2" t="n">
        <v>12</v>
      </c>
      <c r="K161" s="2" t="n">
        <v>19627.78</v>
      </c>
      <c r="L161" s="2" t="s">
        <v>21</v>
      </c>
      <c r="M161" s="2" t="n">
        <v>3.7</v>
      </c>
    </row>
    <row r="162" customFormat="false" ht="15" hidden="false" customHeight="false" outlineLevel="0" collapsed="false">
      <c r="A162" s="2" t="s">
        <v>479</v>
      </c>
      <c r="B162" s="2" t="n">
        <v>54</v>
      </c>
      <c r="C162" s="2" t="s">
        <v>30</v>
      </c>
      <c r="D162" s="2" t="s">
        <v>64</v>
      </c>
      <c r="E162" s="2" t="s">
        <v>42</v>
      </c>
      <c r="F162" s="2" t="s">
        <v>43</v>
      </c>
      <c r="G162" s="2" t="s">
        <v>86</v>
      </c>
      <c r="H162" s="2" t="s">
        <v>191</v>
      </c>
      <c r="I162" s="2" t="s">
        <v>460</v>
      </c>
      <c r="J162" s="2" t="n">
        <v>6</v>
      </c>
      <c r="K162" s="2" t="n">
        <v>13276.32</v>
      </c>
      <c r="L162" s="2" t="s">
        <v>119</v>
      </c>
      <c r="M162" s="2"/>
    </row>
    <row r="163" customFormat="false" ht="15" hidden="false" customHeight="false" outlineLevel="0" collapsed="false">
      <c r="A163" s="2" t="s">
        <v>480</v>
      </c>
      <c r="B163" s="2" t="n">
        <v>58</v>
      </c>
      <c r="C163" s="2" t="s">
        <v>30</v>
      </c>
      <c r="D163" s="2" t="s">
        <v>31</v>
      </c>
      <c r="E163" s="2" t="s">
        <v>24</v>
      </c>
      <c r="F163" s="2" t="s">
        <v>372</v>
      </c>
      <c r="G163" s="2" t="s">
        <v>33</v>
      </c>
      <c r="H163" s="2" t="s">
        <v>481</v>
      </c>
      <c r="I163" s="2" t="s">
        <v>387</v>
      </c>
      <c r="J163" s="2" t="n">
        <v>7</v>
      </c>
      <c r="K163" s="2" t="n">
        <v>11127.22</v>
      </c>
      <c r="L163" s="2" t="s">
        <v>21</v>
      </c>
      <c r="M163" s="2" t="n">
        <v>3.7</v>
      </c>
    </row>
    <row r="164" customFormat="false" ht="15" hidden="false" customHeight="false" outlineLevel="0" collapsed="false">
      <c r="A164" s="2" t="s">
        <v>482</v>
      </c>
      <c r="B164" s="2" t="n">
        <v>33</v>
      </c>
      <c r="C164" s="2" t="s">
        <v>14</v>
      </c>
      <c r="D164" s="2" t="s">
        <v>64</v>
      </c>
      <c r="E164" s="2" t="s">
        <v>16</v>
      </c>
      <c r="F164" s="2" t="s">
        <v>32</v>
      </c>
      <c r="G164" s="2" t="s">
        <v>86</v>
      </c>
      <c r="H164" s="2" t="s">
        <v>483</v>
      </c>
      <c r="I164" s="2" t="s">
        <v>484</v>
      </c>
      <c r="J164" s="2" t="n">
        <v>1</v>
      </c>
      <c r="K164" s="2" t="n">
        <v>6297.17</v>
      </c>
      <c r="L164" s="2" t="s">
        <v>57</v>
      </c>
      <c r="M164" s="2" t="n">
        <v>3.5</v>
      </c>
    </row>
    <row r="165" customFormat="false" ht="15" hidden="false" customHeight="false" outlineLevel="0" collapsed="false">
      <c r="A165" s="2" t="s">
        <v>485</v>
      </c>
      <c r="B165" s="2" t="n">
        <v>88</v>
      </c>
      <c r="C165" s="2" t="s">
        <v>14</v>
      </c>
      <c r="D165" s="2" t="s">
        <v>23</v>
      </c>
      <c r="E165" s="2" t="s">
        <v>42</v>
      </c>
      <c r="F165" s="2" t="s">
        <v>69</v>
      </c>
      <c r="G165" s="2" t="s">
        <v>33</v>
      </c>
      <c r="H165" s="2" t="s">
        <v>486</v>
      </c>
      <c r="I165" s="2" t="s">
        <v>235</v>
      </c>
      <c r="J165" s="2" t="n">
        <v>9</v>
      </c>
      <c r="K165" s="2" t="n">
        <v>12093.11</v>
      </c>
      <c r="L165" s="2" t="s">
        <v>21</v>
      </c>
      <c r="M165" s="2" t="n">
        <v>3.5</v>
      </c>
    </row>
    <row r="166" customFormat="false" ht="15" hidden="false" customHeight="false" outlineLevel="0" collapsed="false">
      <c r="A166" s="2" t="s">
        <v>487</v>
      </c>
      <c r="B166" s="2" t="n">
        <v>27</v>
      </c>
      <c r="C166" s="2" t="s">
        <v>14</v>
      </c>
      <c r="D166" s="2" t="s">
        <v>15</v>
      </c>
      <c r="E166" s="2" t="s">
        <v>37</v>
      </c>
      <c r="F166" s="2" t="s">
        <v>158</v>
      </c>
      <c r="G166" s="2" t="s">
        <v>77</v>
      </c>
      <c r="H166" s="2" t="s">
        <v>488</v>
      </c>
      <c r="I166" s="2" t="s">
        <v>489</v>
      </c>
      <c r="J166" s="2" t="n">
        <v>1</v>
      </c>
      <c r="K166" s="2" t="n">
        <v>5470.16</v>
      </c>
      <c r="L166" s="2" t="s">
        <v>57</v>
      </c>
      <c r="M166" s="2" t="n">
        <v>3.2</v>
      </c>
    </row>
    <row r="167" customFormat="false" ht="15" hidden="false" customHeight="false" outlineLevel="0" collapsed="false">
      <c r="A167" s="2" t="s">
        <v>490</v>
      </c>
      <c r="B167" s="2" t="n">
        <v>88</v>
      </c>
      <c r="C167" s="2" t="s">
        <v>14</v>
      </c>
      <c r="D167" s="2" t="s">
        <v>64</v>
      </c>
      <c r="E167" s="2" t="s">
        <v>53</v>
      </c>
      <c r="F167" s="2" t="s">
        <v>154</v>
      </c>
      <c r="G167" s="2" t="s">
        <v>86</v>
      </c>
      <c r="H167" s="2" t="s">
        <v>443</v>
      </c>
      <c r="I167" s="2" t="s">
        <v>179</v>
      </c>
      <c r="J167" s="2" t="n">
        <v>3</v>
      </c>
      <c r="K167" s="2" t="n">
        <v>4714.81</v>
      </c>
      <c r="L167" s="2" t="s">
        <v>21</v>
      </c>
      <c r="M167" s="2" t="n">
        <v>3.5</v>
      </c>
    </row>
    <row r="168" customFormat="false" ht="15" hidden="false" customHeight="false" outlineLevel="0" collapsed="false">
      <c r="A168" s="2" t="s">
        <v>491</v>
      </c>
      <c r="B168" s="2" t="n">
        <v>84</v>
      </c>
      <c r="C168" s="2" t="s">
        <v>30</v>
      </c>
      <c r="D168" s="2" t="s">
        <v>31</v>
      </c>
      <c r="E168" s="2" t="s">
        <v>59</v>
      </c>
      <c r="F168" s="2" t="s">
        <v>65</v>
      </c>
      <c r="G168" s="2" t="s">
        <v>48</v>
      </c>
      <c r="H168" s="2" t="s">
        <v>492</v>
      </c>
      <c r="I168" s="2" t="s">
        <v>493</v>
      </c>
      <c r="J168" s="2" t="n">
        <v>5</v>
      </c>
      <c r="K168" s="2" t="n">
        <v>8508.5</v>
      </c>
      <c r="L168" s="2" t="s">
        <v>21</v>
      </c>
      <c r="M168" s="2" t="n">
        <v>4.5</v>
      </c>
    </row>
    <row r="169" customFormat="false" ht="15" hidden="false" customHeight="false" outlineLevel="0" collapsed="false">
      <c r="A169" s="2" t="s">
        <v>494</v>
      </c>
      <c r="B169" s="2" t="n">
        <v>29</v>
      </c>
      <c r="C169" s="2" t="s">
        <v>14</v>
      </c>
      <c r="D169" s="2" t="s">
        <v>23</v>
      </c>
      <c r="E169" s="2" t="s">
        <v>24</v>
      </c>
      <c r="F169" s="2" t="s">
        <v>147</v>
      </c>
      <c r="G169" s="2" t="s">
        <v>18</v>
      </c>
      <c r="H169" s="2" t="s">
        <v>495</v>
      </c>
      <c r="I169" s="2" t="s">
        <v>496</v>
      </c>
      <c r="J169" s="2" t="n">
        <v>4</v>
      </c>
      <c r="K169" s="2" t="n">
        <v>12042.77</v>
      </c>
      <c r="L169" s="2" t="s">
        <v>21</v>
      </c>
      <c r="M169" s="2" t="n">
        <v>3.8</v>
      </c>
    </row>
    <row r="170" customFormat="false" ht="15" hidden="false" customHeight="false" outlineLevel="0" collapsed="false">
      <c r="A170" s="2" t="s">
        <v>497</v>
      </c>
      <c r="B170" s="2" t="n">
        <v>21</v>
      </c>
      <c r="C170" s="2" t="s">
        <v>14</v>
      </c>
      <c r="D170" s="2" t="s">
        <v>31</v>
      </c>
      <c r="E170" s="2" t="s">
        <v>37</v>
      </c>
      <c r="F170" s="2" t="s">
        <v>173</v>
      </c>
      <c r="G170" s="2" t="s">
        <v>48</v>
      </c>
      <c r="H170" s="2" t="s">
        <v>498</v>
      </c>
      <c r="I170" s="2" t="s">
        <v>499</v>
      </c>
      <c r="J170" s="2" t="n">
        <v>3</v>
      </c>
      <c r="K170" s="2" t="n">
        <v>6821.45</v>
      </c>
      <c r="L170" s="2" t="s">
        <v>21</v>
      </c>
      <c r="M170" s="2" t="n">
        <v>2.9</v>
      </c>
    </row>
    <row r="171" customFormat="false" ht="15" hidden="false" customHeight="false" outlineLevel="0" collapsed="false">
      <c r="A171" s="2" t="s">
        <v>500</v>
      </c>
      <c r="B171" s="2" t="n">
        <v>81</v>
      </c>
      <c r="C171" s="2" t="s">
        <v>30</v>
      </c>
      <c r="D171" s="2" t="s">
        <v>15</v>
      </c>
      <c r="E171" s="2" t="s">
        <v>53</v>
      </c>
      <c r="F171" s="2" t="s">
        <v>76</v>
      </c>
      <c r="G171" s="2" t="s">
        <v>48</v>
      </c>
      <c r="H171" s="2" t="s">
        <v>501</v>
      </c>
      <c r="I171" s="2" t="s">
        <v>236</v>
      </c>
      <c r="J171" s="2" t="n">
        <v>2</v>
      </c>
      <c r="K171" s="2" t="n">
        <v>4238.16</v>
      </c>
      <c r="L171" s="2" t="s">
        <v>21</v>
      </c>
      <c r="M171" s="2" t="n">
        <v>3</v>
      </c>
    </row>
    <row r="172" customFormat="false" ht="15" hidden="false" customHeight="false" outlineLevel="0" collapsed="false">
      <c r="A172" s="2" t="s">
        <v>502</v>
      </c>
      <c r="B172" s="2" t="n">
        <v>44</v>
      </c>
      <c r="C172" s="2" t="s">
        <v>30</v>
      </c>
      <c r="D172" s="2" t="s">
        <v>23</v>
      </c>
      <c r="E172" s="2" t="s">
        <v>16</v>
      </c>
      <c r="F172" s="2" t="s">
        <v>47</v>
      </c>
      <c r="G172" s="2" t="s">
        <v>48</v>
      </c>
      <c r="H172" s="2" t="s">
        <v>503</v>
      </c>
      <c r="I172" s="2" t="s">
        <v>504</v>
      </c>
      <c r="J172" s="2" t="n">
        <v>4</v>
      </c>
      <c r="K172" s="2" t="n">
        <v>8516.58</v>
      </c>
      <c r="L172" s="2" t="s">
        <v>119</v>
      </c>
      <c r="M172" s="2"/>
    </row>
    <row r="173" customFormat="false" ht="15" hidden="false" customHeight="false" outlineLevel="0" collapsed="false">
      <c r="A173" s="2" t="s">
        <v>505</v>
      </c>
      <c r="B173" s="2" t="n">
        <v>34</v>
      </c>
      <c r="C173" s="2" t="s">
        <v>30</v>
      </c>
      <c r="D173" s="2" t="s">
        <v>23</v>
      </c>
      <c r="E173" s="2" t="s">
        <v>24</v>
      </c>
      <c r="F173" s="2" t="s">
        <v>25</v>
      </c>
      <c r="G173" s="2" t="s">
        <v>33</v>
      </c>
      <c r="H173" s="2" t="s">
        <v>435</v>
      </c>
      <c r="I173" s="2" t="s">
        <v>239</v>
      </c>
      <c r="J173" s="2" t="n">
        <v>3</v>
      </c>
      <c r="K173" s="2" t="n">
        <v>13885.35</v>
      </c>
      <c r="L173" s="2" t="s">
        <v>21</v>
      </c>
      <c r="M173" s="2" t="n">
        <v>3.8</v>
      </c>
    </row>
    <row r="174" customFormat="false" ht="15" hidden="false" customHeight="false" outlineLevel="0" collapsed="false">
      <c r="A174" s="2" t="s">
        <v>506</v>
      </c>
      <c r="B174" s="2" t="n">
        <v>30</v>
      </c>
      <c r="C174" s="2" t="s">
        <v>14</v>
      </c>
      <c r="D174" s="2" t="s">
        <v>15</v>
      </c>
      <c r="E174" s="2" t="s">
        <v>53</v>
      </c>
      <c r="F174" s="2" t="s">
        <v>253</v>
      </c>
      <c r="G174" s="2" t="s">
        <v>18</v>
      </c>
      <c r="H174" s="2" t="s">
        <v>507</v>
      </c>
      <c r="I174" s="2" t="s">
        <v>431</v>
      </c>
      <c r="J174" s="2" t="n">
        <v>3</v>
      </c>
      <c r="K174" s="2" t="n">
        <v>3025.87</v>
      </c>
      <c r="L174" s="2" t="s">
        <v>97</v>
      </c>
      <c r="M174" s="2" t="n">
        <v>3.8</v>
      </c>
    </row>
    <row r="175" customFormat="false" ht="15" hidden="false" customHeight="false" outlineLevel="0" collapsed="false">
      <c r="A175" s="2" t="s">
        <v>508</v>
      </c>
      <c r="B175" s="2" t="n">
        <v>83</v>
      </c>
      <c r="C175" s="2" t="s">
        <v>30</v>
      </c>
      <c r="D175" s="2" t="s">
        <v>52</v>
      </c>
      <c r="E175" s="2" t="s">
        <v>59</v>
      </c>
      <c r="F175" s="2" t="s">
        <v>85</v>
      </c>
      <c r="G175" s="2" t="s">
        <v>86</v>
      </c>
      <c r="H175" s="2" t="s">
        <v>306</v>
      </c>
      <c r="I175" s="2" t="s">
        <v>509</v>
      </c>
      <c r="J175" s="2" t="n">
        <v>8</v>
      </c>
      <c r="K175" s="2" t="n">
        <v>11519.26</v>
      </c>
      <c r="L175" s="2" t="s">
        <v>119</v>
      </c>
      <c r="M175" s="2"/>
    </row>
    <row r="176" customFormat="false" ht="15" hidden="false" customHeight="false" outlineLevel="0" collapsed="false">
      <c r="A176" s="2" t="s">
        <v>510</v>
      </c>
      <c r="B176" s="2" t="n">
        <v>45</v>
      </c>
      <c r="C176" s="2" t="s">
        <v>30</v>
      </c>
      <c r="D176" s="2" t="s">
        <v>31</v>
      </c>
      <c r="E176" s="2" t="s">
        <v>42</v>
      </c>
      <c r="F176" s="2" t="s">
        <v>81</v>
      </c>
      <c r="G176" s="2" t="s">
        <v>77</v>
      </c>
      <c r="H176" s="2" t="s">
        <v>511</v>
      </c>
      <c r="I176" s="2" t="s">
        <v>512</v>
      </c>
      <c r="J176" s="2" t="n">
        <v>4</v>
      </c>
      <c r="K176" s="2" t="n">
        <v>11930.87</v>
      </c>
      <c r="L176" s="2" t="s">
        <v>21</v>
      </c>
      <c r="M176" s="2" t="n">
        <v>2.9</v>
      </c>
    </row>
    <row r="177" customFormat="false" ht="15" hidden="false" customHeight="false" outlineLevel="0" collapsed="false">
      <c r="A177" s="2" t="s">
        <v>513</v>
      </c>
      <c r="B177" s="2" t="n">
        <v>86</v>
      </c>
      <c r="C177" s="2" t="s">
        <v>14</v>
      </c>
      <c r="D177" s="2" t="s">
        <v>31</v>
      </c>
      <c r="E177" s="2" t="s">
        <v>53</v>
      </c>
      <c r="F177" s="2" t="s">
        <v>76</v>
      </c>
      <c r="G177" s="2" t="s">
        <v>33</v>
      </c>
      <c r="H177" s="2" t="s">
        <v>328</v>
      </c>
      <c r="I177" s="2" t="s">
        <v>514</v>
      </c>
      <c r="J177" s="2" t="n">
        <v>3</v>
      </c>
      <c r="K177" s="2" t="n">
        <v>3791.39</v>
      </c>
      <c r="L177" s="2" t="s">
        <v>21</v>
      </c>
      <c r="M177" s="2" t="n">
        <v>3.2</v>
      </c>
    </row>
    <row r="178" customFormat="false" ht="15" hidden="false" customHeight="false" outlineLevel="0" collapsed="false">
      <c r="A178" s="2" t="s">
        <v>515</v>
      </c>
      <c r="B178" s="2" t="n">
        <v>88</v>
      </c>
      <c r="C178" s="2" t="s">
        <v>30</v>
      </c>
      <c r="D178" s="2" t="s">
        <v>31</v>
      </c>
      <c r="E178" s="2" t="s">
        <v>53</v>
      </c>
      <c r="F178" s="2" t="s">
        <v>253</v>
      </c>
      <c r="G178" s="2" t="s">
        <v>26</v>
      </c>
      <c r="H178" s="2" t="s">
        <v>516</v>
      </c>
      <c r="I178" s="2" t="s">
        <v>517</v>
      </c>
      <c r="J178" s="2" t="n">
        <v>2</v>
      </c>
      <c r="K178" s="2" t="n">
        <v>4407.53</v>
      </c>
      <c r="L178" s="2" t="s">
        <v>21</v>
      </c>
      <c r="M178" s="2" t="n">
        <v>2.8</v>
      </c>
    </row>
    <row r="179" customFormat="false" ht="15" hidden="false" customHeight="false" outlineLevel="0" collapsed="false">
      <c r="A179" s="2" t="s">
        <v>518</v>
      </c>
      <c r="B179" s="2" t="n">
        <v>34</v>
      </c>
      <c r="C179" s="2" t="s">
        <v>14</v>
      </c>
      <c r="D179" s="2" t="s">
        <v>52</v>
      </c>
      <c r="E179" s="2" t="s">
        <v>59</v>
      </c>
      <c r="F179" s="2" t="s">
        <v>202</v>
      </c>
      <c r="G179" s="2" t="s">
        <v>26</v>
      </c>
      <c r="H179" s="2" t="s">
        <v>328</v>
      </c>
      <c r="I179" s="2" t="s">
        <v>225</v>
      </c>
      <c r="J179" s="2" t="n">
        <v>5</v>
      </c>
      <c r="K179" s="2" t="n">
        <v>7894.3</v>
      </c>
      <c r="L179" s="2" t="s">
        <v>21</v>
      </c>
      <c r="M179" s="2" t="n">
        <v>3.3</v>
      </c>
    </row>
    <row r="180" customFormat="false" ht="15" hidden="false" customHeight="false" outlineLevel="0" collapsed="false">
      <c r="A180" s="2" t="s">
        <v>519</v>
      </c>
      <c r="B180" s="2" t="n">
        <v>35</v>
      </c>
      <c r="C180" s="2" t="s">
        <v>30</v>
      </c>
      <c r="D180" s="2" t="s">
        <v>52</v>
      </c>
      <c r="E180" s="2" t="s">
        <v>24</v>
      </c>
      <c r="F180" s="2" t="s">
        <v>94</v>
      </c>
      <c r="G180" s="2" t="s">
        <v>18</v>
      </c>
      <c r="H180" s="2" t="s">
        <v>520</v>
      </c>
      <c r="I180" s="2" t="s">
        <v>521</v>
      </c>
      <c r="J180" s="2" t="n">
        <v>7</v>
      </c>
      <c r="K180" s="2" t="n">
        <v>19088.88</v>
      </c>
      <c r="L180" s="2" t="s">
        <v>57</v>
      </c>
      <c r="M180" s="2" t="n">
        <v>3.2</v>
      </c>
    </row>
    <row r="181" customFormat="false" ht="15" hidden="false" customHeight="false" outlineLevel="0" collapsed="false">
      <c r="A181" s="2" t="s">
        <v>522</v>
      </c>
      <c r="B181" s="2" t="n">
        <v>58</v>
      </c>
      <c r="C181" s="2" t="s">
        <v>14</v>
      </c>
      <c r="D181" s="2" t="s">
        <v>52</v>
      </c>
      <c r="E181" s="2" t="s">
        <v>24</v>
      </c>
      <c r="F181" s="2" t="s">
        <v>372</v>
      </c>
      <c r="G181" s="2" t="s">
        <v>26</v>
      </c>
      <c r="H181" s="2" t="s">
        <v>523</v>
      </c>
      <c r="I181" s="2" t="s">
        <v>212</v>
      </c>
      <c r="J181" s="2" t="n">
        <v>5</v>
      </c>
      <c r="K181" s="2" t="n">
        <v>16835.43</v>
      </c>
      <c r="L181" s="2" t="s">
        <v>21</v>
      </c>
      <c r="M181" s="2" t="n">
        <v>2.8</v>
      </c>
    </row>
    <row r="182" customFormat="false" ht="15" hidden="false" customHeight="false" outlineLevel="0" collapsed="false">
      <c r="A182" s="2" t="s">
        <v>524</v>
      </c>
      <c r="B182" s="2" t="n">
        <v>20</v>
      </c>
      <c r="C182" s="2" t="s">
        <v>30</v>
      </c>
      <c r="D182" s="2" t="s">
        <v>15</v>
      </c>
      <c r="E182" s="2" t="s">
        <v>37</v>
      </c>
      <c r="F182" s="2" t="s">
        <v>158</v>
      </c>
      <c r="G182" s="2" t="s">
        <v>77</v>
      </c>
      <c r="H182" s="2" t="s">
        <v>525</v>
      </c>
      <c r="I182" s="2" t="s">
        <v>526</v>
      </c>
      <c r="J182" s="2" t="n">
        <v>3</v>
      </c>
      <c r="K182" s="2" t="n">
        <v>5865.36</v>
      </c>
      <c r="L182" s="2" t="s">
        <v>57</v>
      </c>
      <c r="M182" s="2" t="n">
        <v>5</v>
      </c>
    </row>
    <row r="183" customFormat="false" ht="15" hidden="false" customHeight="false" outlineLevel="0" collapsed="false">
      <c r="A183" s="2" t="s">
        <v>527</v>
      </c>
      <c r="B183" s="2" t="n">
        <v>21</v>
      </c>
      <c r="C183" s="2" t="s">
        <v>30</v>
      </c>
      <c r="D183" s="2" t="s">
        <v>15</v>
      </c>
      <c r="E183" s="2" t="s">
        <v>37</v>
      </c>
      <c r="F183" s="2" t="s">
        <v>151</v>
      </c>
      <c r="G183" s="2" t="s">
        <v>48</v>
      </c>
      <c r="H183" s="2" t="s">
        <v>528</v>
      </c>
      <c r="I183" s="2" t="s">
        <v>529</v>
      </c>
      <c r="J183" s="2" t="n">
        <v>3</v>
      </c>
      <c r="K183" s="2" t="n">
        <v>6363</v>
      </c>
      <c r="L183" s="2" t="s">
        <v>21</v>
      </c>
      <c r="M183" s="2" t="n">
        <v>2.7</v>
      </c>
    </row>
    <row r="184" customFormat="false" ht="15" hidden="false" customHeight="false" outlineLevel="0" collapsed="false">
      <c r="A184" s="2" t="s">
        <v>530</v>
      </c>
      <c r="B184" s="2" t="n">
        <v>36</v>
      </c>
      <c r="C184" s="2" t="s">
        <v>14</v>
      </c>
      <c r="D184" s="2" t="s">
        <v>31</v>
      </c>
      <c r="E184" s="2" t="s">
        <v>24</v>
      </c>
      <c r="F184" s="2" t="s">
        <v>25</v>
      </c>
      <c r="G184" s="2" t="s">
        <v>18</v>
      </c>
      <c r="H184" s="2" t="s">
        <v>396</v>
      </c>
      <c r="I184" s="2" t="s">
        <v>397</v>
      </c>
      <c r="J184" s="2" t="n">
        <v>4</v>
      </c>
      <c r="K184" s="2" t="n">
        <v>13686.76</v>
      </c>
      <c r="L184" s="2" t="s">
        <v>21</v>
      </c>
      <c r="M184" s="2" t="n">
        <v>3.9</v>
      </c>
    </row>
    <row r="185" customFormat="false" ht="15" hidden="false" customHeight="false" outlineLevel="0" collapsed="false">
      <c r="A185" s="2" t="s">
        <v>531</v>
      </c>
      <c r="B185" s="2" t="n">
        <v>44</v>
      </c>
      <c r="C185" s="2" t="s">
        <v>30</v>
      </c>
      <c r="D185" s="2" t="s">
        <v>23</v>
      </c>
      <c r="E185" s="2" t="s">
        <v>24</v>
      </c>
      <c r="F185" s="2" t="s">
        <v>94</v>
      </c>
      <c r="G185" s="2" t="s">
        <v>48</v>
      </c>
      <c r="H185" s="2" t="s">
        <v>532</v>
      </c>
      <c r="I185" s="2" t="s">
        <v>124</v>
      </c>
      <c r="J185" s="2" t="n">
        <v>7</v>
      </c>
      <c r="K185" s="2" t="n">
        <v>14311.2</v>
      </c>
      <c r="L185" s="2" t="s">
        <v>21</v>
      </c>
      <c r="M185" s="2" t="n">
        <v>4.2</v>
      </c>
    </row>
    <row r="186" customFormat="false" ht="15" hidden="false" customHeight="false" outlineLevel="0" collapsed="false">
      <c r="A186" s="2" t="s">
        <v>533</v>
      </c>
      <c r="B186" s="2" t="n">
        <v>66</v>
      </c>
      <c r="C186" s="2" t="s">
        <v>30</v>
      </c>
      <c r="D186" s="2" t="s">
        <v>64</v>
      </c>
      <c r="E186" s="2" t="s">
        <v>53</v>
      </c>
      <c r="F186" s="2" t="s">
        <v>54</v>
      </c>
      <c r="G186" s="2" t="s">
        <v>26</v>
      </c>
      <c r="H186" s="2" t="s">
        <v>534</v>
      </c>
      <c r="I186" s="2" t="s">
        <v>535</v>
      </c>
      <c r="J186" s="2" t="n">
        <v>2</v>
      </c>
      <c r="K186" s="2" t="n">
        <v>3421.92</v>
      </c>
      <c r="L186" s="2" t="s">
        <v>97</v>
      </c>
      <c r="M186" s="2" t="n">
        <v>2.4</v>
      </c>
    </row>
    <row r="187" customFormat="false" ht="15" hidden="false" customHeight="false" outlineLevel="0" collapsed="false">
      <c r="A187" s="2" t="s">
        <v>536</v>
      </c>
      <c r="B187" s="2" t="n">
        <v>51</v>
      </c>
      <c r="C187" s="2" t="s">
        <v>30</v>
      </c>
      <c r="D187" s="2" t="s">
        <v>64</v>
      </c>
      <c r="E187" s="2" t="s">
        <v>16</v>
      </c>
      <c r="F187" s="2" t="s">
        <v>47</v>
      </c>
      <c r="G187" s="2" t="s">
        <v>26</v>
      </c>
      <c r="H187" s="2" t="s">
        <v>537</v>
      </c>
      <c r="I187" s="2" t="s">
        <v>247</v>
      </c>
      <c r="J187" s="2" t="n">
        <v>4</v>
      </c>
      <c r="K187" s="2" t="n">
        <v>12620.41</v>
      </c>
      <c r="L187" s="2" t="s">
        <v>21</v>
      </c>
      <c r="M187" s="2" t="n">
        <v>3.5</v>
      </c>
    </row>
    <row r="188" customFormat="false" ht="15" hidden="false" customHeight="false" outlineLevel="0" collapsed="false">
      <c r="A188" s="2" t="s">
        <v>538</v>
      </c>
      <c r="B188" s="2" t="n">
        <v>80</v>
      </c>
      <c r="C188" s="2" t="s">
        <v>30</v>
      </c>
      <c r="D188" s="2" t="s">
        <v>52</v>
      </c>
      <c r="E188" s="2" t="s">
        <v>59</v>
      </c>
      <c r="F188" s="2" t="s">
        <v>202</v>
      </c>
      <c r="G188" s="2" t="s">
        <v>33</v>
      </c>
      <c r="H188" s="2" t="s">
        <v>539</v>
      </c>
      <c r="I188" s="2" t="s">
        <v>40</v>
      </c>
      <c r="J188" s="2" t="n">
        <v>8</v>
      </c>
      <c r="K188" s="2" t="n">
        <v>8475.79</v>
      </c>
      <c r="L188" s="2" t="s">
        <v>57</v>
      </c>
      <c r="M188" s="2" t="n">
        <v>3</v>
      </c>
    </row>
    <row r="189" customFormat="false" ht="15" hidden="false" customHeight="false" outlineLevel="0" collapsed="false">
      <c r="A189" s="2" t="s">
        <v>540</v>
      </c>
      <c r="B189" s="2" t="n">
        <v>68</v>
      </c>
      <c r="C189" s="2" t="s">
        <v>30</v>
      </c>
      <c r="D189" s="2" t="s">
        <v>64</v>
      </c>
      <c r="E189" s="2" t="s">
        <v>59</v>
      </c>
      <c r="F189" s="2" t="s">
        <v>60</v>
      </c>
      <c r="G189" s="2" t="s">
        <v>33</v>
      </c>
      <c r="H189" s="2" t="s">
        <v>541</v>
      </c>
      <c r="I189" s="2" t="s">
        <v>542</v>
      </c>
      <c r="J189" s="2" t="n">
        <v>5</v>
      </c>
      <c r="K189" s="2" t="n">
        <v>10008.6</v>
      </c>
      <c r="L189" s="2" t="s">
        <v>21</v>
      </c>
      <c r="M189" s="2" t="n">
        <v>3.1</v>
      </c>
    </row>
    <row r="190" customFormat="false" ht="15" hidden="false" customHeight="false" outlineLevel="0" collapsed="false">
      <c r="A190" s="2" t="s">
        <v>543</v>
      </c>
      <c r="B190" s="2" t="n">
        <v>86</v>
      </c>
      <c r="C190" s="2" t="s">
        <v>30</v>
      </c>
      <c r="D190" s="2" t="s">
        <v>23</v>
      </c>
      <c r="E190" s="2" t="s">
        <v>37</v>
      </c>
      <c r="F190" s="2" t="s">
        <v>173</v>
      </c>
      <c r="G190" s="2" t="s">
        <v>18</v>
      </c>
      <c r="H190" s="2" t="s">
        <v>544</v>
      </c>
      <c r="I190" s="2" t="s">
        <v>545</v>
      </c>
      <c r="J190" s="2" t="n">
        <v>6</v>
      </c>
      <c r="K190" s="2" t="n">
        <v>6807.05</v>
      </c>
      <c r="L190" s="2" t="s">
        <v>21</v>
      </c>
      <c r="M190" s="2" t="n">
        <v>2.9</v>
      </c>
    </row>
    <row r="191" customFormat="false" ht="15" hidden="false" customHeight="false" outlineLevel="0" collapsed="false">
      <c r="A191" s="2" t="s">
        <v>546</v>
      </c>
      <c r="B191" s="2" t="n">
        <v>85</v>
      </c>
      <c r="C191" s="2" t="s">
        <v>14</v>
      </c>
      <c r="D191" s="2" t="s">
        <v>64</v>
      </c>
      <c r="E191" s="2" t="s">
        <v>42</v>
      </c>
      <c r="F191" s="2" t="s">
        <v>69</v>
      </c>
      <c r="G191" s="2" t="s">
        <v>77</v>
      </c>
      <c r="H191" s="2" t="s">
        <v>170</v>
      </c>
      <c r="I191" s="2" t="s">
        <v>547</v>
      </c>
      <c r="J191" s="2" t="n">
        <v>5</v>
      </c>
      <c r="K191" s="2" t="n">
        <v>9733.79</v>
      </c>
      <c r="L191" s="2" t="s">
        <v>57</v>
      </c>
      <c r="M191" s="2" t="n">
        <v>4.4</v>
      </c>
    </row>
    <row r="192" customFormat="false" ht="15" hidden="false" customHeight="false" outlineLevel="0" collapsed="false">
      <c r="A192" s="2" t="s">
        <v>548</v>
      </c>
      <c r="B192" s="2" t="n">
        <v>38</v>
      </c>
      <c r="C192" s="2" t="s">
        <v>30</v>
      </c>
      <c r="D192" s="2" t="s">
        <v>52</v>
      </c>
      <c r="E192" s="2" t="s">
        <v>53</v>
      </c>
      <c r="F192" s="2" t="s">
        <v>76</v>
      </c>
      <c r="G192" s="2" t="s">
        <v>33</v>
      </c>
      <c r="H192" s="2" t="s">
        <v>276</v>
      </c>
      <c r="I192" s="2" t="s">
        <v>549</v>
      </c>
      <c r="J192" s="2" t="n">
        <v>1</v>
      </c>
      <c r="K192" s="2" t="n">
        <v>3550.67</v>
      </c>
      <c r="L192" s="2" t="s">
        <v>97</v>
      </c>
      <c r="M192" s="2" t="n">
        <v>4</v>
      </c>
    </row>
    <row r="193" customFormat="false" ht="15" hidden="false" customHeight="false" outlineLevel="0" collapsed="false">
      <c r="A193" s="2" t="s">
        <v>550</v>
      </c>
      <c r="B193" s="2" t="n">
        <v>47</v>
      </c>
      <c r="C193" s="2" t="s">
        <v>14</v>
      </c>
      <c r="D193" s="2" t="s">
        <v>64</v>
      </c>
      <c r="E193" s="2" t="s">
        <v>53</v>
      </c>
      <c r="F193" s="2" t="s">
        <v>76</v>
      </c>
      <c r="G193" s="2" t="s">
        <v>86</v>
      </c>
      <c r="H193" s="2" t="s">
        <v>551</v>
      </c>
      <c r="I193" s="2" t="s">
        <v>367</v>
      </c>
      <c r="J193" s="2" t="n">
        <v>2</v>
      </c>
      <c r="K193" s="2" t="n">
        <v>3600.66</v>
      </c>
      <c r="L193" s="2" t="s">
        <v>97</v>
      </c>
      <c r="M193" s="2" t="n">
        <v>4.1</v>
      </c>
    </row>
    <row r="194" customFormat="false" ht="15" hidden="false" customHeight="false" outlineLevel="0" collapsed="false">
      <c r="A194" s="2" t="s">
        <v>552</v>
      </c>
      <c r="B194" s="2" t="n">
        <v>22</v>
      </c>
      <c r="C194" s="2" t="s">
        <v>14</v>
      </c>
      <c r="D194" s="2" t="s">
        <v>15</v>
      </c>
      <c r="E194" s="2" t="s">
        <v>24</v>
      </c>
      <c r="F194" s="2" t="s">
        <v>25</v>
      </c>
      <c r="G194" s="2" t="s">
        <v>33</v>
      </c>
      <c r="H194" s="2" t="s">
        <v>35</v>
      </c>
      <c r="I194" s="2" t="s">
        <v>553</v>
      </c>
      <c r="J194" s="2" t="n">
        <v>5</v>
      </c>
      <c r="K194" s="2" t="n">
        <v>12879.53</v>
      </c>
      <c r="L194" s="2" t="s">
        <v>21</v>
      </c>
      <c r="M194" s="2" t="n">
        <v>3.8</v>
      </c>
    </row>
    <row r="195" customFormat="false" ht="15" hidden="false" customHeight="false" outlineLevel="0" collapsed="false">
      <c r="A195" s="2" t="s">
        <v>554</v>
      </c>
      <c r="B195" s="2" t="n">
        <v>35</v>
      </c>
      <c r="C195" s="2" t="s">
        <v>30</v>
      </c>
      <c r="D195" s="2" t="s">
        <v>15</v>
      </c>
      <c r="E195" s="2" t="s">
        <v>16</v>
      </c>
      <c r="F195" s="2" t="s">
        <v>90</v>
      </c>
      <c r="G195" s="2" t="s">
        <v>33</v>
      </c>
      <c r="H195" s="2" t="s">
        <v>431</v>
      </c>
      <c r="I195" s="2" t="s">
        <v>555</v>
      </c>
      <c r="J195" s="2" t="n">
        <v>3</v>
      </c>
      <c r="K195" s="2" t="n">
        <v>6332.91</v>
      </c>
      <c r="L195" s="2" t="s">
        <v>21</v>
      </c>
      <c r="M195" s="2" t="n">
        <v>4.3</v>
      </c>
    </row>
    <row r="196" customFormat="false" ht="15" hidden="false" customHeight="false" outlineLevel="0" collapsed="false">
      <c r="A196" s="2" t="s">
        <v>556</v>
      </c>
      <c r="B196" s="2" t="n">
        <v>55</v>
      </c>
      <c r="C196" s="2" t="s">
        <v>14</v>
      </c>
      <c r="D196" s="2" t="s">
        <v>64</v>
      </c>
      <c r="E196" s="2" t="s">
        <v>24</v>
      </c>
      <c r="F196" s="2" t="s">
        <v>94</v>
      </c>
      <c r="G196" s="2" t="s">
        <v>77</v>
      </c>
      <c r="H196" s="2" t="s">
        <v>178</v>
      </c>
      <c r="I196" s="2" t="s">
        <v>557</v>
      </c>
      <c r="J196" s="2" t="n">
        <v>8</v>
      </c>
      <c r="K196" s="2" t="n">
        <v>16771.98</v>
      </c>
      <c r="L196" s="2" t="s">
        <v>21</v>
      </c>
      <c r="M196" s="2" t="n">
        <v>4</v>
      </c>
    </row>
    <row r="197" customFormat="false" ht="15" hidden="false" customHeight="false" outlineLevel="0" collapsed="false">
      <c r="A197" s="2" t="s">
        <v>558</v>
      </c>
      <c r="B197" s="2" t="n">
        <v>35</v>
      </c>
      <c r="C197" s="2" t="s">
        <v>30</v>
      </c>
      <c r="D197" s="2" t="s">
        <v>15</v>
      </c>
      <c r="E197" s="2" t="s">
        <v>16</v>
      </c>
      <c r="F197" s="2" t="s">
        <v>90</v>
      </c>
      <c r="G197" s="2" t="s">
        <v>33</v>
      </c>
      <c r="H197" s="2" t="s">
        <v>559</v>
      </c>
      <c r="I197" s="2" t="s">
        <v>313</v>
      </c>
      <c r="J197" s="2" t="n">
        <v>3</v>
      </c>
      <c r="K197" s="2" t="n">
        <v>10800.85</v>
      </c>
      <c r="L197" s="2" t="s">
        <v>119</v>
      </c>
      <c r="M197" s="2"/>
    </row>
    <row r="198" customFormat="false" ht="15" hidden="false" customHeight="false" outlineLevel="0" collapsed="false">
      <c r="A198" s="2" t="s">
        <v>560</v>
      </c>
      <c r="B198" s="2" t="n">
        <v>56</v>
      </c>
      <c r="C198" s="2" t="s">
        <v>14</v>
      </c>
      <c r="D198" s="2" t="s">
        <v>15</v>
      </c>
      <c r="E198" s="2" t="s">
        <v>37</v>
      </c>
      <c r="F198" s="2" t="s">
        <v>173</v>
      </c>
      <c r="G198" s="2" t="s">
        <v>48</v>
      </c>
      <c r="H198" s="2" t="s">
        <v>343</v>
      </c>
      <c r="I198" s="2" t="s">
        <v>435</v>
      </c>
      <c r="J198" s="2" t="n">
        <v>6</v>
      </c>
      <c r="K198" s="2" t="n">
        <v>8109.96</v>
      </c>
      <c r="L198" s="2" t="s">
        <v>21</v>
      </c>
      <c r="M198" s="2" t="n">
        <v>2.8</v>
      </c>
    </row>
    <row r="199" customFormat="false" ht="15" hidden="false" customHeight="false" outlineLevel="0" collapsed="false">
      <c r="A199" s="2" t="s">
        <v>561</v>
      </c>
      <c r="B199" s="2" t="n">
        <v>57</v>
      </c>
      <c r="C199" s="2" t="s">
        <v>14</v>
      </c>
      <c r="D199" s="2" t="s">
        <v>15</v>
      </c>
      <c r="E199" s="2" t="s">
        <v>59</v>
      </c>
      <c r="F199" s="2" t="s">
        <v>65</v>
      </c>
      <c r="G199" s="2" t="s">
        <v>18</v>
      </c>
      <c r="H199" s="2" t="s">
        <v>149</v>
      </c>
      <c r="I199" s="2" t="s">
        <v>562</v>
      </c>
      <c r="J199" s="2" t="n">
        <v>7</v>
      </c>
      <c r="K199" s="2" t="n">
        <v>8115.67</v>
      </c>
      <c r="L199" s="2" t="s">
        <v>119</v>
      </c>
      <c r="M199" s="2"/>
    </row>
    <row r="200" customFormat="false" ht="15" hidden="false" customHeight="false" outlineLevel="0" collapsed="false">
      <c r="A200" s="2" t="s">
        <v>563</v>
      </c>
      <c r="B200" s="2" t="n">
        <v>65</v>
      </c>
      <c r="C200" s="2" t="s">
        <v>30</v>
      </c>
      <c r="D200" s="2" t="s">
        <v>23</v>
      </c>
      <c r="E200" s="2" t="s">
        <v>53</v>
      </c>
      <c r="F200" s="2" t="s">
        <v>76</v>
      </c>
      <c r="G200" s="2" t="s">
        <v>18</v>
      </c>
      <c r="H200" s="2" t="s">
        <v>564</v>
      </c>
      <c r="I200" s="2" t="s">
        <v>565</v>
      </c>
      <c r="J200" s="2" t="n">
        <v>2</v>
      </c>
      <c r="K200" s="2" t="n">
        <v>4038.72</v>
      </c>
      <c r="L200" s="2" t="s">
        <v>21</v>
      </c>
      <c r="M200" s="2" t="n">
        <v>2.3</v>
      </c>
    </row>
    <row r="201" customFormat="false" ht="15" hidden="false" customHeight="false" outlineLevel="0" collapsed="false">
      <c r="A201" s="2" t="s">
        <v>566</v>
      </c>
      <c r="B201" s="2" t="n">
        <v>75</v>
      </c>
      <c r="C201" s="2" t="s">
        <v>30</v>
      </c>
      <c r="D201" s="2" t="s">
        <v>31</v>
      </c>
      <c r="E201" s="2" t="s">
        <v>24</v>
      </c>
      <c r="F201" s="2" t="s">
        <v>25</v>
      </c>
      <c r="G201" s="2" t="s">
        <v>86</v>
      </c>
      <c r="H201" s="2" t="s">
        <v>567</v>
      </c>
      <c r="I201" s="2" t="s">
        <v>493</v>
      </c>
      <c r="J201" s="2" t="n">
        <v>9</v>
      </c>
      <c r="K201" s="2" t="n">
        <v>17444.68</v>
      </c>
      <c r="L201" s="2" t="s">
        <v>21</v>
      </c>
      <c r="M201" s="2" t="n">
        <v>4.1</v>
      </c>
    </row>
    <row r="202" customFormat="false" ht="15" hidden="false" customHeight="false" outlineLevel="0" collapsed="false">
      <c r="A202" s="2" t="s">
        <v>568</v>
      </c>
      <c r="B202" s="2" t="n">
        <v>74</v>
      </c>
      <c r="C202" s="2" t="s">
        <v>14</v>
      </c>
      <c r="D202" s="2" t="s">
        <v>64</v>
      </c>
      <c r="E202" s="2" t="s">
        <v>37</v>
      </c>
      <c r="F202" s="2" t="s">
        <v>38</v>
      </c>
      <c r="G202" s="2" t="s">
        <v>86</v>
      </c>
      <c r="H202" s="2" t="s">
        <v>404</v>
      </c>
      <c r="I202" s="2" t="s">
        <v>273</v>
      </c>
      <c r="J202" s="2" t="n">
        <v>9</v>
      </c>
      <c r="K202" s="2" t="n">
        <v>8749.43</v>
      </c>
      <c r="L202" s="2" t="s">
        <v>21</v>
      </c>
      <c r="M202" s="2" t="n">
        <v>3.4</v>
      </c>
    </row>
    <row r="203" customFormat="false" ht="15" hidden="false" customHeight="false" outlineLevel="0" collapsed="false">
      <c r="A203" s="2" t="s">
        <v>569</v>
      </c>
      <c r="B203" s="2" t="n">
        <v>71</v>
      </c>
      <c r="C203" s="2" t="s">
        <v>30</v>
      </c>
      <c r="D203" s="2" t="s">
        <v>23</v>
      </c>
      <c r="E203" s="2" t="s">
        <v>42</v>
      </c>
      <c r="F203" s="2" t="s">
        <v>108</v>
      </c>
      <c r="G203" s="2" t="s">
        <v>48</v>
      </c>
      <c r="H203" s="2" t="s">
        <v>570</v>
      </c>
      <c r="I203" s="2" t="s">
        <v>571</v>
      </c>
      <c r="J203" s="2" t="n">
        <v>5</v>
      </c>
      <c r="K203" s="2" t="n">
        <v>8817.05</v>
      </c>
      <c r="L203" s="2" t="s">
        <v>57</v>
      </c>
      <c r="M203" s="2" t="n">
        <v>3.5</v>
      </c>
    </row>
    <row r="204" customFormat="false" ht="15" hidden="false" customHeight="false" outlineLevel="0" collapsed="false">
      <c r="A204" s="2" t="s">
        <v>572</v>
      </c>
      <c r="B204" s="2" t="n">
        <v>23</v>
      </c>
      <c r="C204" s="2" t="s">
        <v>30</v>
      </c>
      <c r="D204" s="2" t="s">
        <v>15</v>
      </c>
      <c r="E204" s="2" t="s">
        <v>37</v>
      </c>
      <c r="F204" s="2" t="s">
        <v>158</v>
      </c>
      <c r="G204" s="2" t="s">
        <v>26</v>
      </c>
      <c r="H204" s="2" t="s">
        <v>122</v>
      </c>
      <c r="I204" s="2" t="s">
        <v>392</v>
      </c>
      <c r="J204" s="2" t="n">
        <v>1</v>
      </c>
      <c r="K204" s="2" t="n">
        <v>6281.37</v>
      </c>
      <c r="L204" s="2" t="s">
        <v>57</v>
      </c>
      <c r="M204" s="2" t="n">
        <v>3.6</v>
      </c>
    </row>
    <row r="205" customFormat="false" ht="15" hidden="false" customHeight="false" outlineLevel="0" collapsed="false">
      <c r="A205" s="2" t="s">
        <v>573</v>
      </c>
      <c r="B205" s="2" t="n">
        <v>22</v>
      </c>
      <c r="C205" s="2" t="s">
        <v>30</v>
      </c>
      <c r="D205" s="2" t="s">
        <v>52</v>
      </c>
      <c r="E205" s="2" t="s">
        <v>16</v>
      </c>
      <c r="F205" s="2" t="s">
        <v>17</v>
      </c>
      <c r="G205" s="2" t="s">
        <v>48</v>
      </c>
      <c r="H205" s="2" t="s">
        <v>130</v>
      </c>
      <c r="I205" s="2" t="s">
        <v>413</v>
      </c>
      <c r="J205" s="2" t="n">
        <v>5</v>
      </c>
      <c r="K205" s="2" t="n">
        <v>8885.32</v>
      </c>
      <c r="L205" s="2" t="s">
        <v>57</v>
      </c>
      <c r="M205" s="2" t="n">
        <v>2.1</v>
      </c>
    </row>
    <row r="206" customFormat="false" ht="15" hidden="false" customHeight="false" outlineLevel="0" collapsed="false">
      <c r="A206" s="2" t="s">
        <v>574</v>
      </c>
      <c r="B206" s="2" t="n">
        <v>66</v>
      </c>
      <c r="C206" s="2" t="s">
        <v>30</v>
      </c>
      <c r="D206" s="2" t="s">
        <v>31</v>
      </c>
      <c r="E206" s="2" t="s">
        <v>37</v>
      </c>
      <c r="F206" s="2" t="s">
        <v>151</v>
      </c>
      <c r="G206" s="2" t="s">
        <v>48</v>
      </c>
      <c r="H206" s="2" t="s">
        <v>575</v>
      </c>
      <c r="I206" s="2" t="s">
        <v>534</v>
      </c>
      <c r="J206" s="2" t="n">
        <v>6</v>
      </c>
      <c r="K206" s="2" t="n">
        <v>10440.74</v>
      </c>
      <c r="L206" s="2" t="s">
        <v>21</v>
      </c>
      <c r="M206" s="2" t="n">
        <v>5</v>
      </c>
    </row>
    <row r="207" customFormat="false" ht="15" hidden="false" customHeight="false" outlineLevel="0" collapsed="false">
      <c r="A207" s="2" t="s">
        <v>576</v>
      </c>
      <c r="B207" s="2" t="n">
        <v>34</v>
      </c>
      <c r="C207" s="2" t="s">
        <v>14</v>
      </c>
      <c r="D207" s="2" t="s">
        <v>31</v>
      </c>
      <c r="E207" s="2" t="s">
        <v>42</v>
      </c>
      <c r="F207" s="2" t="s">
        <v>81</v>
      </c>
      <c r="G207" s="2" t="s">
        <v>77</v>
      </c>
      <c r="H207" s="2" t="s">
        <v>577</v>
      </c>
      <c r="I207" s="2" t="s">
        <v>578</v>
      </c>
      <c r="J207" s="2" t="n">
        <v>4</v>
      </c>
      <c r="K207" s="2" t="n">
        <v>8347.57</v>
      </c>
      <c r="L207" s="2" t="s">
        <v>21</v>
      </c>
      <c r="M207" s="2" t="n">
        <v>3.7</v>
      </c>
    </row>
    <row r="208" customFormat="false" ht="15" hidden="false" customHeight="false" outlineLevel="0" collapsed="false">
      <c r="A208" s="2" t="s">
        <v>579</v>
      </c>
      <c r="B208" s="2" t="n">
        <v>37</v>
      </c>
      <c r="C208" s="2" t="s">
        <v>30</v>
      </c>
      <c r="D208" s="2" t="s">
        <v>64</v>
      </c>
      <c r="E208" s="2" t="s">
        <v>37</v>
      </c>
      <c r="F208" s="2" t="s">
        <v>158</v>
      </c>
      <c r="G208" s="2" t="s">
        <v>86</v>
      </c>
      <c r="H208" s="2" t="s">
        <v>580</v>
      </c>
      <c r="I208" s="2" t="s">
        <v>581</v>
      </c>
      <c r="J208" s="2" t="n">
        <v>6</v>
      </c>
      <c r="K208" s="2" t="n">
        <v>6261.3</v>
      </c>
      <c r="L208" s="2" t="s">
        <v>57</v>
      </c>
      <c r="M208" s="2" t="n">
        <v>4.1</v>
      </c>
    </row>
    <row r="209" customFormat="false" ht="15" hidden="false" customHeight="false" outlineLevel="0" collapsed="false">
      <c r="A209" s="2" t="s">
        <v>582</v>
      </c>
      <c r="B209" s="2" t="n">
        <v>20</v>
      </c>
      <c r="C209" s="2" t="s">
        <v>14</v>
      </c>
      <c r="D209" s="2" t="s">
        <v>64</v>
      </c>
      <c r="E209" s="2" t="s">
        <v>42</v>
      </c>
      <c r="F209" s="2" t="s">
        <v>69</v>
      </c>
      <c r="G209" s="2" t="s">
        <v>26</v>
      </c>
      <c r="H209" s="2" t="s">
        <v>583</v>
      </c>
      <c r="I209" s="2" t="s">
        <v>584</v>
      </c>
      <c r="J209" s="2" t="n">
        <v>1</v>
      </c>
      <c r="K209" s="2" t="n">
        <v>9738.2</v>
      </c>
      <c r="L209" s="2" t="s">
        <v>57</v>
      </c>
      <c r="M209" s="2" t="n">
        <v>3.8</v>
      </c>
    </row>
    <row r="210" customFormat="false" ht="15" hidden="false" customHeight="false" outlineLevel="0" collapsed="false">
      <c r="A210" s="2" t="s">
        <v>585</v>
      </c>
      <c r="B210" s="2" t="n">
        <v>74</v>
      </c>
      <c r="C210" s="2" t="s">
        <v>14</v>
      </c>
      <c r="D210" s="2" t="s">
        <v>23</v>
      </c>
      <c r="E210" s="2" t="s">
        <v>16</v>
      </c>
      <c r="F210" s="2" t="s">
        <v>90</v>
      </c>
      <c r="G210" s="2" t="s">
        <v>18</v>
      </c>
      <c r="H210" s="2" t="s">
        <v>358</v>
      </c>
      <c r="I210" s="2" t="s">
        <v>359</v>
      </c>
      <c r="J210" s="2" t="n">
        <v>5</v>
      </c>
      <c r="K210" s="2" t="n">
        <v>10250.98</v>
      </c>
      <c r="L210" s="2" t="s">
        <v>57</v>
      </c>
      <c r="M210" s="2" t="n">
        <v>3.5</v>
      </c>
    </row>
    <row r="211" customFormat="false" ht="15" hidden="false" customHeight="false" outlineLevel="0" collapsed="false">
      <c r="A211" s="2" t="s">
        <v>586</v>
      </c>
      <c r="B211" s="2" t="n">
        <v>58</v>
      </c>
      <c r="C211" s="2" t="s">
        <v>30</v>
      </c>
      <c r="D211" s="2" t="s">
        <v>64</v>
      </c>
      <c r="E211" s="2" t="s">
        <v>59</v>
      </c>
      <c r="F211" s="2" t="s">
        <v>65</v>
      </c>
      <c r="G211" s="2" t="s">
        <v>48</v>
      </c>
      <c r="H211" s="2" t="s">
        <v>179</v>
      </c>
      <c r="I211" s="2" t="s">
        <v>587</v>
      </c>
      <c r="J211" s="2" t="n">
        <v>6</v>
      </c>
      <c r="K211" s="2" t="n">
        <v>10330.83</v>
      </c>
      <c r="L211" s="2" t="s">
        <v>21</v>
      </c>
      <c r="M211" s="2" t="n">
        <v>4.9</v>
      </c>
    </row>
    <row r="212" customFormat="false" ht="15" hidden="false" customHeight="false" outlineLevel="0" collapsed="false">
      <c r="A212" s="2" t="s">
        <v>588</v>
      </c>
      <c r="B212" s="2" t="n">
        <v>40</v>
      </c>
      <c r="C212" s="2" t="s">
        <v>30</v>
      </c>
      <c r="D212" s="2" t="s">
        <v>23</v>
      </c>
      <c r="E212" s="2" t="s">
        <v>53</v>
      </c>
      <c r="F212" s="2" t="s">
        <v>154</v>
      </c>
      <c r="G212" s="2" t="s">
        <v>33</v>
      </c>
      <c r="H212" s="2" t="s">
        <v>209</v>
      </c>
      <c r="I212" s="2" t="s">
        <v>589</v>
      </c>
      <c r="J212" s="2" t="n">
        <v>1</v>
      </c>
      <c r="K212" s="2" t="n">
        <v>3067.07</v>
      </c>
      <c r="L212" s="2" t="s">
        <v>21</v>
      </c>
      <c r="M212" s="2" t="n">
        <v>2.7</v>
      </c>
    </row>
    <row r="213" customFormat="false" ht="15" hidden="false" customHeight="false" outlineLevel="0" collapsed="false">
      <c r="A213" s="2" t="s">
        <v>590</v>
      </c>
      <c r="B213" s="2" t="n">
        <v>71</v>
      </c>
      <c r="C213" s="2" t="s">
        <v>30</v>
      </c>
      <c r="D213" s="2" t="s">
        <v>64</v>
      </c>
      <c r="E213" s="2" t="s">
        <v>59</v>
      </c>
      <c r="F213" s="2" t="s">
        <v>85</v>
      </c>
      <c r="G213" s="2" t="s">
        <v>18</v>
      </c>
      <c r="H213" s="2" t="s">
        <v>132</v>
      </c>
      <c r="I213" s="2" t="s">
        <v>95</v>
      </c>
      <c r="J213" s="2" t="n">
        <v>2</v>
      </c>
      <c r="K213" s="2" t="n">
        <v>8038.24</v>
      </c>
      <c r="L213" s="2" t="s">
        <v>21</v>
      </c>
      <c r="M213" s="2" t="n">
        <v>3.4</v>
      </c>
    </row>
    <row r="214" customFormat="false" ht="15" hidden="false" customHeight="false" outlineLevel="0" collapsed="false">
      <c r="A214" s="2" t="s">
        <v>591</v>
      </c>
      <c r="B214" s="2" t="n">
        <v>25</v>
      </c>
      <c r="C214" s="2" t="s">
        <v>30</v>
      </c>
      <c r="D214" s="2" t="s">
        <v>52</v>
      </c>
      <c r="E214" s="2" t="s">
        <v>24</v>
      </c>
      <c r="F214" s="2" t="s">
        <v>147</v>
      </c>
      <c r="G214" s="2" t="s">
        <v>77</v>
      </c>
      <c r="H214" s="2" t="s">
        <v>592</v>
      </c>
      <c r="I214" s="2" t="s">
        <v>194</v>
      </c>
      <c r="J214" s="2" t="n">
        <v>3</v>
      </c>
      <c r="K214" s="2" t="n">
        <v>16115.7</v>
      </c>
      <c r="L214" s="2" t="s">
        <v>21</v>
      </c>
      <c r="M214" s="2" t="n">
        <v>4.3</v>
      </c>
    </row>
    <row r="215" customFormat="false" ht="15" hidden="false" customHeight="false" outlineLevel="0" collapsed="false">
      <c r="A215" s="2" t="s">
        <v>593</v>
      </c>
      <c r="B215" s="2" t="n">
        <v>75</v>
      </c>
      <c r="C215" s="2" t="s">
        <v>30</v>
      </c>
      <c r="D215" s="2" t="s">
        <v>31</v>
      </c>
      <c r="E215" s="2" t="s">
        <v>24</v>
      </c>
      <c r="F215" s="2" t="s">
        <v>147</v>
      </c>
      <c r="G215" s="2" t="s">
        <v>86</v>
      </c>
      <c r="H215" s="2" t="s">
        <v>594</v>
      </c>
      <c r="I215" s="2" t="s">
        <v>595</v>
      </c>
      <c r="J215" s="2" t="n">
        <v>6</v>
      </c>
      <c r="K215" s="2" t="n">
        <v>20251.57</v>
      </c>
      <c r="L215" s="2" t="s">
        <v>21</v>
      </c>
      <c r="M215" s="2" t="n">
        <v>4.6</v>
      </c>
    </row>
    <row r="216" customFormat="false" ht="15" hidden="false" customHeight="false" outlineLevel="0" collapsed="false">
      <c r="A216" s="2" t="s">
        <v>596</v>
      </c>
      <c r="B216" s="2" t="n">
        <v>89</v>
      </c>
      <c r="C216" s="2" t="s">
        <v>14</v>
      </c>
      <c r="D216" s="2" t="s">
        <v>52</v>
      </c>
      <c r="E216" s="2" t="s">
        <v>16</v>
      </c>
      <c r="F216" s="2" t="s">
        <v>47</v>
      </c>
      <c r="G216" s="2" t="s">
        <v>33</v>
      </c>
      <c r="H216" s="2" t="s">
        <v>320</v>
      </c>
      <c r="I216" s="2" t="s">
        <v>449</v>
      </c>
      <c r="J216" s="2" t="n">
        <v>6</v>
      </c>
      <c r="K216" s="2" t="n">
        <v>9822.2</v>
      </c>
      <c r="L216" s="2" t="s">
        <v>97</v>
      </c>
      <c r="M216" s="2" t="n">
        <v>3.9</v>
      </c>
    </row>
    <row r="217" customFormat="false" ht="15" hidden="false" customHeight="false" outlineLevel="0" collapsed="false">
      <c r="A217" s="2" t="s">
        <v>597</v>
      </c>
      <c r="B217" s="2" t="n">
        <v>79</v>
      </c>
      <c r="C217" s="2" t="s">
        <v>14</v>
      </c>
      <c r="D217" s="2" t="s">
        <v>23</v>
      </c>
      <c r="E217" s="2" t="s">
        <v>37</v>
      </c>
      <c r="F217" s="2" t="s">
        <v>151</v>
      </c>
      <c r="G217" s="2" t="s">
        <v>77</v>
      </c>
      <c r="H217" s="2" t="s">
        <v>344</v>
      </c>
      <c r="I217" s="2" t="s">
        <v>435</v>
      </c>
      <c r="J217" s="2" t="n">
        <v>2</v>
      </c>
      <c r="K217" s="2" t="n">
        <v>5688.86</v>
      </c>
      <c r="L217" s="2" t="s">
        <v>21</v>
      </c>
      <c r="M217" s="2" t="n">
        <v>3.1</v>
      </c>
    </row>
    <row r="218" customFormat="false" ht="15" hidden="false" customHeight="false" outlineLevel="0" collapsed="false">
      <c r="A218" s="2" t="s">
        <v>598</v>
      </c>
      <c r="B218" s="2" t="n">
        <v>51</v>
      </c>
      <c r="C218" s="2" t="s">
        <v>30</v>
      </c>
      <c r="D218" s="2" t="s">
        <v>23</v>
      </c>
      <c r="E218" s="2" t="s">
        <v>53</v>
      </c>
      <c r="F218" s="2" t="s">
        <v>253</v>
      </c>
      <c r="G218" s="2" t="s">
        <v>86</v>
      </c>
      <c r="H218" s="2" t="s">
        <v>599</v>
      </c>
      <c r="I218" s="2" t="s">
        <v>600</v>
      </c>
      <c r="J218" s="2" t="n">
        <v>1</v>
      </c>
      <c r="K218" s="2" t="n">
        <v>3641.05</v>
      </c>
      <c r="L218" s="2" t="s">
        <v>21</v>
      </c>
      <c r="M218" s="2" t="n">
        <v>3.1</v>
      </c>
    </row>
    <row r="219" customFormat="false" ht="15" hidden="false" customHeight="false" outlineLevel="0" collapsed="false">
      <c r="A219" s="2" t="s">
        <v>601</v>
      </c>
      <c r="B219" s="2" t="n">
        <v>58</v>
      </c>
      <c r="C219" s="2" t="s">
        <v>30</v>
      </c>
      <c r="D219" s="2" t="s">
        <v>31</v>
      </c>
      <c r="E219" s="2" t="s">
        <v>24</v>
      </c>
      <c r="F219" s="2" t="s">
        <v>147</v>
      </c>
      <c r="G219" s="2" t="s">
        <v>48</v>
      </c>
      <c r="H219" s="2" t="s">
        <v>602</v>
      </c>
      <c r="I219" s="2" t="s">
        <v>386</v>
      </c>
      <c r="J219" s="2" t="n">
        <v>10</v>
      </c>
      <c r="K219" s="2" t="n">
        <v>19387.48</v>
      </c>
      <c r="L219" s="2" t="s">
        <v>21</v>
      </c>
      <c r="M219" s="2" t="n">
        <v>3.2</v>
      </c>
    </row>
    <row r="220" customFormat="false" ht="15" hidden="false" customHeight="false" outlineLevel="0" collapsed="false">
      <c r="A220" s="2" t="s">
        <v>603</v>
      </c>
      <c r="B220" s="2" t="n">
        <v>43</v>
      </c>
      <c r="C220" s="2" t="s">
        <v>30</v>
      </c>
      <c r="D220" s="2" t="s">
        <v>64</v>
      </c>
      <c r="E220" s="2" t="s">
        <v>53</v>
      </c>
      <c r="F220" s="2" t="s">
        <v>76</v>
      </c>
      <c r="G220" s="2" t="s">
        <v>77</v>
      </c>
      <c r="H220" s="2" t="s">
        <v>96</v>
      </c>
      <c r="I220" s="2" t="s">
        <v>492</v>
      </c>
      <c r="J220" s="2" t="n">
        <v>1</v>
      </c>
      <c r="K220" s="2" t="n">
        <v>3051.34</v>
      </c>
      <c r="L220" s="2" t="s">
        <v>21</v>
      </c>
      <c r="M220" s="2" t="n">
        <v>2.9</v>
      </c>
    </row>
    <row r="221" customFormat="false" ht="15" hidden="false" customHeight="false" outlineLevel="0" collapsed="false">
      <c r="A221" s="2" t="s">
        <v>604</v>
      </c>
      <c r="B221" s="2" t="n">
        <v>80</v>
      </c>
      <c r="C221" s="2" t="s">
        <v>30</v>
      </c>
      <c r="D221" s="2" t="s">
        <v>52</v>
      </c>
      <c r="E221" s="2" t="s">
        <v>16</v>
      </c>
      <c r="F221" s="2" t="s">
        <v>47</v>
      </c>
      <c r="G221" s="2" t="s">
        <v>18</v>
      </c>
      <c r="H221" s="2" t="s">
        <v>562</v>
      </c>
      <c r="I221" s="2" t="s">
        <v>300</v>
      </c>
      <c r="J221" s="2" t="n">
        <v>4</v>
      </c>
      <c r="K221" s="2" t="n">
        <v>7161.93</v>
      </c>
      <c r="L221" s="2" t="s">
        <v>57</v>
      </c>
      <c r="M221" s="2" t="n">
        <v>2.6</v>
      </c>
    </row>
    <row r="222" customFormat="false" ht="15" hidden="false" customHeight="false" outlineLevel="0" collapsed="false">
      <c r="A222" s="2" t="s">
        <v>605</v>
      </c>
      <c r="B222" s="2" t="n">
        <v>25</v>
      </c>
      <c r="C222" s="2" t="s">
        <v>14</v>
      </c>
      <c r="D222" s="2" t="s">
        <v>31</v>
      </c>
      <c r="E222" s="2" t="s">
        <v>37</v>
      </c>
      <c r="F222" s="2" t="s">
        <v>158</v>
      </c>
      <c r="G222" s="2" t="s">
        <v>86</v>
      </c>
      <c r="H222" s="2" t="s">
        <v>606</v>
      </c>
      <c r="I222" s="2" t="s">
        <v>607</v>
      </c>
      <c r="J222" s="2" t="n">
        <v>3</v>
      </c>
      <c r="K222" s="2" t="n">
        <v>7708.42</v>
      </c>
      <c r="L222" s="2" t="s">
        <v>21</v>
      </c>
      <c r="M222" s="2" t="n">
        <v>4.4</v>
      </c>
    </row>
    <row r="223" customFormat="false" ht="15" hidden="false" customHeight="false" outlineLevel="0" collapsed="false">
      <c r="A223" s="2" t="s">
        <v>608</v>
      </c>
      <c r="B223" s="2" t="n">
        <v>37</v>
      </c>
      <c r="C223" s="2" t="s">
        <v>14</v>
      </c>
      <c r="D223" s="2" t="s">
        <v>64</v>
      </c>
      <c r="E223" s="2" t="s">
        <v>24</v>
      </c>
      <c r="F223" s="2" t="s">
        <v>94</v>
      </c>
      <c r="G223" s="2" t="s">
        <v>33</v>
      </c>
      <c r="H223" s="2" t="s">
        <v>122</v>
      </c>
      <c r="I223" s="2" t="s">
        <v>609</v>
      </c>
      <c r="J223" s="2" t="n">
        <v>5</v>
      </c>
      <c r="K223" s="2" t="n">
        <v>13999.89</v>
      </c>
      <c r="L223" s="2" t="s">
        <v>21</v>
      </c>
      <c r="M223" s="2" t="n">
        <v>2.7</v>
      </c>
    </row>
    <row r="224" customFormat="false" ht="15" hidden="false" customHeight="false" outlineLevel="0" collapsed="false">
      <c r="A224" s="2" t="s">
        <v>610</v>
      </c>
      <c r="B224" s="2" t="n">
        <v>18</v>
      </c>
      <c r="C224" s="2" t="s">
        <v>30</v>
      </c>
      <c r="D224" s="2" t="s">
        <v>31</v>
      </c>
      <c r="E224" s="2" t="s">
        <v>42</v>
      </c>
      <c r="F224" s="2" t="s">
        <v>81</v>
      </c>
      <c r="G224" s="2" t="s">
        <v>26</v>
      </c>
      <c r="H224" s="2" t="s">
        <v>118</v>
      </c>
      <c r="I224" s="2" t="s">
        <v>611</v>
      </c>
      <c r="J224" s="2" t="n">
        <v>4</v>
      </c>
      <c r="K224" s="2" t="n">
        <v>13195.78</v>
      </c>
      <c r="L224" s="2" t="s">
        <v>97</v>
      </c>
      <c r="M224" s="2" t="n">
        <v>3.7</v>
      </c>
    </row>
    <row r="225" customFormat="false" ht="15" hidden="false" customHeight="false" outlineLevel="0" collapsed="false">
      <c r="A225" s="2" t="s">
        <v>612</v>
      </c>
      <c r="B225" s="2" t="n">
        <v>40</v>
      </c>
      <c r="C225" s="2" t="s">
        <v>14</v>
      </c>
      <c r="D225" s="2" t="s">
        <v>31</v>
      </c>
      <c r="E225" s="2" t="s">
        <v>24</v>
      </c>
      <c r="F225" s="2" t="s">
        <v>147</v>
      </c>
      <c r="G225" s="2" t="s">
        <v>18</v>
      </c>
      <c r="H225" s="2" t="s">
        <v>613</v>
      </c>
      <c r="I225" s="2" t="s">
        <v>614</v>
      </c>
      <c r="J225" s="2" t="n">
        <v>6</v>
      </c>
      <c r="K225" s="2" t="n">
        <v>15835.84</v>
      </c>
      <c r="L225" s="2" t="s">
        <v>21</v>
      </c>
      <c r="M225" s="2" t="n">
        <v>3.6</v>
      </c>
    </row>
    <row r="226" customFormat="false" ht="15" hidden="false" customHeight="false" outlineLevel="0" collapsed="false">
      <c r="A226" s="2" t="s">
        <v>615</v>
      </c>
      <c r="B226" s="2" t="n">
        <v>69</v>
      </c>
      <c r="C226" s="2" t="s">
        <v>30</v>
      </c>
      <c r="D226" s="2" t="s">
        <v>23</v>
      </c>
      <c r="E226" s="2" t="s">
        <v>16</v>
      </c>
      <c r="F226" s="2" t="s">
        <v>17</v>
      </c>
      <c r="G226" s="2" t="s">
        <v>33</v>
      </c>
      <c r="H226" s="2" t="s">
        <v>616</v>
      </c>
      <c r="I226" s="2" t="s">
        <v>50</v>
      </c>
      <c r="J226" s="2" t="n">
        <v>3</v>
      </c>
      <c r="K226" s="2" t="n">
        <v>8678.11</v>
      </c>
      <c r="L226" s="2" t="s">
        <v>119</v>
      </c>
      <c r="M226" s="2"/>
    </row>
    <row r="227" customFormat="false" ht="15" hidden="false" customHeight="false" outlineLevel="0" collapsed="false">
      <c r="A227" s="2" t="s">
        <v>617</v>
      </c>
      <c r="B227" s="2" t="n">
        <v>22</v>
      </c>
      <c r="C227" s="2" t="s">
        <v>14</v>
      </c>
      <c r="D227" s="2" t="s">
        <v>52</v>
      </c>
      <c r="E227" s="2" t="s">
        <v>53</v>
      </c>
      <c r="F227" s="2" t="s">
        <v>253</v>
      </c>
      <c r="G227" s="2" t="s">
        <v>26</v>
      </c>
      <c r="H227" s="2" t="s">
        <v>618</v>
      </c>
      <c r="I227" s="2" t="s">
        <v>619</v>
      </c>
      <c r="J227" s="2" t="n">
        <v>1</v>
      </c>
      <c r="K227" s="2" t="n">
        <v>3682.77</v>
      </c>
      <c r="L227" s="2" t="s">
        <v>21</v>
      </c>
      <c r="M227" s="2" t="n">
        <v>3.8</v>
      </c>
    </row>
    <row r="228" customFormat="false" ht="15" hidden="false" customHeight="false" outlineLevel="0" collapsed="false">
      <c r="A228" s="2" t="s">
        <v>620</v>
      </c>
      <c r="B228" s="2" t="n">
        <v>81</v>
      </c>
      <c r="C228" s="2" t="s">
        <v>30</v>
      </c>
      <c r="D228" s="2" t="s">
        <v>15</v>
      </c>
      <c r="E228" s="2" t="s">
        <v>24</v>
      </c>
      <c r="F228" s="2" t="s">
        <v>25</v>
      </c>
      <c r="G228" s="2" t="s">
        <v>26</v>
      </c>
      <c r="H228" s="2" t="s">
        <v>339</v>
      </c>
      <c r="I228" s="2" t="s">
        <v>528</v>
      </c>
      <c r="J228" s="2" t="n">
        <v>9</v>
      </c>
      <c r="K228" s="2" t="n">
        <v>25003.68</v>
      </c>
      <c r="L228" s="2" t="s">
        <v>97</v>
      </c>
      <c r="M228" s="2" t="n">
        <v>2.8</v>
      </c>
    </row>
    <row r="229" customFormat="false" ht="15" hidden="false" customHeight="false" outlineLevel="0" collapsed="false">
      <c r="A229" s="2" t="s">
        <v>621</v>
      </c>
      <c r="B229" s="2" t="n">
        <v>27</v>
      </c>
      <c r="C229" s="2" t="s">
        <v>30</v>
      </c>
      <c r="D229" s="2" t="s">
        <v>23</v>
      </c>
      <c r="E229" s="2" t="s">
        <v>24</v>
      </c>
      <c r="F229" s="2" t="s">
        <v>25</v>
      </c>
      <c r="G229" s="2" t="s">
        <v>18</v>
      </c>
      <c r="H229" s="2" t="s">
        <v>622</v>
      </c>
      <c r="I229" s="2" t="s">
        <v>276</v>
      </c>
      <c r="J229" s="2" t="n">
        <v>6</v>
      </c>
      <c r="K229" s="2" t="n">
        <v>19434.22</v>
      </c>
      <c r="L229" s="2" t="s">
        <v>21</v>
      </c>
      <c r="M229" s="2" t="n">
        <v>3.5</v>
      </c>
    </row>
    <row r="230" customFormat="false" ht="15" hidden="false" customHeight="false" outlineLevel="0" collapsed="false">
      <c r="A230" s="2" t="s">
        <v>623</v>
      </c>
      <c r="B230" s="2" t="n">
        <v>68</v>
      </c>
      <c r="C230" s="2" t="s">
        <v>14</v>
      </c>
      <c r="D230" s="2" t="s">
        <v>15</v>
      </c>
      <c r="E230" s="2" t="s">
        <v>16</v>
      </c>
      <c r="F230" s="2" t="s">
        <v>17</v>
      </c>
      <c r="G230" s="2" t="s">
        <v>26</v>
      </c>
      <c r="H230" s="2" t="s">
        <v>199</v>
      </c>
      <c r="I230" s="2" t="s">
        <v>624</v>
      </c>
      <c r="J230" s="2" t="n">
        <v>3</v>
      </c>
      <c r="K230" s="2" t="n">
        <v>6789.49</v>
      </c>
      <c r="L230" s="2" t="s">
        <v>21</v>
      </c>
      <c r="M230" s="2" t="n">
        <v>3.6</v>
      </c>
    </row>
    <row r="231" customFormat="false" ht="15" hidden="false" customHeight="false" outlineLevel="0" collapsed="false">
      <c r="A231" s="2" t="s">
        <v>625</v>
      </c>
      <c r="B231" s="2" t="n">
        <v>28</v>
      </c>
      <c r="C231" s="2" t="s">
        <v>30</v>
      </c>
      <c r="D231" s="2" t="s">
        <v>31</v>
      </c>
      <c r="E231" s="2" t="s">
        <v>42</v>
      </c>
      <c r="F231" s="2" t="s">
        <v>108</v>
      </c>
      <c r="G231" s="2" t="s">
        <v>18</v>
      </c>
      <c r="H231" s="2" t="s">
        <v>103</v>
      </c>
      <c r="I231" s="2" t="s">
        <v>626</v>
      </c>
      <c r="J231" s="2" t="n">
        <v>1</v>
      </c>
      <c r="K231" s="2" t="n">
        <v>7331.45</v>
      </c>
      <c r="L231" s="2" t="s">
        <v>119</v>
      </c>
      <c r="M231" s="2"/>
    </row>
    <row r="232" customFormat="false" ht="15" hidden="false" customHeight="false" outlineLevel="0" collapsed="false">
      <c r="A232" s="2" t="s">
        <v>627</v>
      </c>
      <c r="B232" s="2" t="n">
        <v>68</v>
      </c>
      <c r="C232" s="2" t="s">
        <v>30</v>
      </c>
      <c r="D232" s="2" t="s">
        <v>31</v>
      </c>
      <c r="E232" s="2" t="s">
        <v>37</v>
      </c>
      <c r="F232" s="2" t="s">
        <v>173</v>
      </c>
      <c r="G232" s="2" t="s">
        <v>77</v>
      </c>
      <c r="H232" s="2" t="s">
        <v>290</v>
      </c>
      <c r="I232" s="2" t="s">
        <v>628</v>
      </c>
      <c r="J232" s="2" t="n">
        <v>8</v>
      </c>
      <c r="K232" s="2" t="n">
        <v>8891.15</v>
      </c>
      <c r="L232" s="2" t="s">
        <v>21</v>
      </c>
      <c r="M232" s="2" t="n">
        <v>4.3</v>
      </c>
    </row>
    <row r="233" customFormat="false" ht="15" hidden="false" customHeight="false" outlineLevel="0" collapsed="false">
      <c r="A233" s="2" t="s">
        <v>629</v>
      </c>
      <c r="B233" s="2" t="n">
        <v>41</v>
      </c>
      <c r="C233" s="2" t="s">
        <v>30</v>
      </c>
      <c r="D233" s="2" t="s">
        <v>31</v>
      </c>
      <c r="E233" s="2" t="s">
        <v>24</v>
      </c>
      <c r="F233" s="2" t="s">
        <v>372</v>
      </c>
      <c r="G233" s="2" t="s">
        <v>18</v>
      </c>
      <c r="H233" s="2" t="s">
        <v>630</v>
      </c>
      <c r="I233" s="2" t="s">
        <v>127</v>
      </c>
      <c r="J233" s="2" t="n">
        <v>8</v>
      </c>
      <c r="K233" s="2" t="n">
        <v>19055.91</v>
      </c>
      <c r="L233" s="2" t="s">
        <v>21</v>
      </c>
      <c r="M233" s="2" t="n">
        <v>2.6</v>
      </c>
    </row>
    <row r="234" customFormat="false" ht="15" hidden="false" customHeight="false" outlineLevel="0" collapsed="false">
      <c r="A234" s="2" t="s">
        <v>631</v>
      </c>
      <c r="B234" s="2" t="n">
        <v>58</v>
      </c>
      <c r="C234" s="2" t="s">
        <v>30</v>
      </c>
      <c r="D234" s="2" t="s">
        <v>31</v>
      </c>
      <c r="E234" s="2" t="s">
        <v>42</v>
      </c>
      <c r="F234" s="2" t="s">
        <v>69</v>
      </c>
      <c r="G234" s="2" t="s">
        <v>33</v>
      </c>
      <c r="H234" s="2" t="s">
        <v>632</v>
      </c>
      <c r="I234" s="2" t="s">
        <v>294</v>
      </c>
      <c r="J234" s="2" t="n">
        <v>2</v>
      </c>
      <c r="K234" s="2" t="n">
        <v>8441.27</v>
      </c>
      <c r="L234" s="2" t="s">
        <v>21</v>
      </c>
      <c r="M234" s="2" t="n">
        <v>4.1</v>
      </c>
    </row>
    <row r="235" customFormat="false" ht="15" hidden="false" customHeight="false" outlineLevel="0" collapsed="false">
      <c r="A235" s="2" t="s">
        <v>633</v>
      </c>
      <c r="B235" s="2" t="n">
        <v>41</v>
      </c>
      <c r="C235" s="2" t="s">
        <v>30</v>
      </c>
      <c r="D235" s="2" t="s">
        <v>52</v>
      </c>
      <c r="E235" s="2" t="s">
        <v>24</v>
      </c>
      <c r="F235" s="2" t="s">
        <v>94</v>
      </c>
      <c r="G235" s="2" t="s">
        <v>86</v>
      </c>
      <c r="H235" s="2" t="s">
        <v>634</v>
      </c>
      <c r="I235" s="2" t="s">
        <v>584</v>
      </c>
      <c r="J235" s="2" t="n">
        <v>9</v>
      </c>
      <c r="K235" s="2" t="n">
        <v>20635.65</v>
      </c>
      <c r="L235" s="2" t="s">
        <v>21</v>
      </c>
      <c r="M235" s="2" t="n">
        <v>3.7</v>
      </c>
    </row>
    <row r="236" customFormat="false" ht="15" hidden="false" customHeight="false" outlineLevel="0" collapsed="false">
      <c r="A236" s="2" t="s">
        <v>635</v>
      </c>
      <c r="B236" s="2" t="n">
        <v>19</v>
      </c>
      <c r="C236" s="2" t="s">
        <v>30</v>
      </c>
      <c r="D236" s="2" t="s">
        <v>52</v>
      </c>
      <c r="E236" s="2" t="s">
        <v>53</v>
      </c>
      <c r="F236" s="2" t="s">
        <v>154</v>
      </c>
      <c r="G236" s="2" t="s">
        <v>48</v>
      </c>
      <c r="H236" s="2" t="s">
        <v>423</v>
      </c>
      <c r="I236" s="2" t="s">
        <v>188</v>
      </c>
      <c r="J236" s="2" t="n">
        <v>1</v>
      </c>
      <c r="K236" s="2" t="n">
        <v>5065.28</v>
      </c>
      <c r="L236" s="2" t="s">
        <v>21</v>
      </c>
      <c r="M236" s="2" t="n">
        <v>2.7</v>
      </c>
    </row>
    <row r="237" customFormat="false" ht="15" hidden="false" customHeight="false" outlineLevel="0" collapsed="false">
      <c r="A237" s="2" t="s">
        <v>636</v>
      </c>
      <c r="B237" s="2" t="n">
        <v>39</v>
      </c>
      <c r="C237" s="2" t="s">
        <v>30</v>
      </c>
      <c r="D237" s="2" t="s">
        <v>64</v>
      </c>
      <c r="E237" s="2" t="s">
        <v>16</v>
      </c>
      <c r="F237" s="2" t="s">
        <v>47</v>
      </c>
      <c r="G237" s="2" t="s">
        <v>33</v>
      </c>
      <c r="H237" s="2" t="s">
        <v>594</v>
      </c>
      <c r="I237" s="2" t="s">
        <v>637</v>
      </c>
      <c r="J237" s="2" t="n">
        <v>2</v>
      </c>
      <c r="K237" s="2" t="n">
        <v>8022.49</v>
      </c>
      <c r="L237" s="2" t="s">
        <v>21</v>
      </c>
      <c r="M237" s="2" t="n">
        <v>3</v>
      </c>
    </row>
    <row r="238" customFormat="false" ht="15" hidden="false" customHeight="false" outlineLevel="0" collapsed="false">
      <c r="A238" s="2" t="s">
        <v>638</v>
      </c>
      <c r="B238" s="2" t="n">
        <v>27</v>
      </c>
      <c r="C238" s="2" t="s">
        <v>30</v>
      </c>
      <c r="D238" s="2" t="s">
        <v>15</v>
      </c>
      <c r="E238" s="2" t="s">
        <v>16</v>
      </c>
      <c r="F238" s="2" t="s">
        <v>32</v>
      </c>
      <c r="G238" s="2" t="s">
        <v>26</v>
      </c>
      <c r="H238" s="2" t="s">
        <v>639</v>
      </c>
      <c r="I238" s="2" t="s">
        <v>640</v>
      </c>
      <c r="J238" s="2" t="n">
        <v>4</v>
      </c>
      <c r="K238" s="2" t="n">
        <v>9029.81</v>
      </c>
      <c r="L238" s="2" t="s">
        <v>21</v>
      </c>
      <c r="M238" s="2" t="n">
        <v>3.9</v>
      </c>
    </row>
    <row r="239" customFormat="false" ht="15" hidden="false" customHeight="false" outlineLevel="0" collapsed="false">
      <c r="A239" s="2" t="s">
        <v>641</v>
      </c>
      <c r="B239" s="2" t="n">
        <v>68</v>
      </c>
      <c r="C239" s="2" t="s">
        <v>30</v>
      </c>
      <c r="D239" s="2" t="s">
        <v>23</v>
      </c>
      <c r="E239" s="2" t="s">
        <v>53</v>
      </c>
      <c r="F239" s="2" t="s">
        <v>54</v>
      </c>
      <c r="G239" s="2" t="s">
        <v>77</v>
      </c>
      <c r="H239" s="2" t="s">
        <v>642</v>
      </c>
      <c r="I239" s="2" t="s">
        <v>547</v>
      </c>
      <c r="J239" s="2" t="n">
        <v>1</v>
      </c>
      <c r="K239" s="2" t="n">
        <v>4103.38</v>
      </c>
      <c r="L239" s="2" t="s">
        <v>21</v>
      </c>
      <c r="M239" s="2" t="n">
        <v>3.3</v>
      </c>
    </row>
    <row r="240" customFormat="false" ht="15" hidden="false" customHeight="false" outlineLevel="0" collapsed="false">
      <c r="A240" s="2" t="s">
        <v>643</v>
      </c>
      <c r="B240" s="2" t="n">
        <v>43</v>
      </c>
      <c r="C240" s="2" t="s">
        <v>30</v>
      </c>
      <c r="D240" s="2" t="s">
        <v>15</v>
      </c>
      <c r="E240" s="2" t="s">
        <v>16</v>
      </c>
      <c r="F240" s="2" t="s">
        <v>32</v>
      </c>
      <c r="G240" s="2" t="s">
        <v>33</v>
      </c>
      <c r="H240" s="2" t="s">
        <v>644</v>
      </c>
      <c r="I240" s="2" t="s">
        <v>316</v>
      </c>
      <c r="J240" s="2" t="n">
        <v>2</v>
      </c>
      <c r="K240" s="2" t="n">
        <v>7806.55</v>
      </c>
      <c r="L240" s="2" t="s">
        <v>119</v>
      </c>
      <c r="M240" s="2"/>
    </row>
    <row r="241" customFormat="false" ht="15" hidden="false" customHeight="false" outlineLevel="0" collapsed="false">
      <c r="A241" s="2" t="s">
        <v>645</v>
      </c>
      <c r="B241" s="2" t="n">
        <v>49</v>
      </c>
      <c r="C241" s="2" t="s">
        <v>30</v>
      </c>
      <c r="D241" s="2" t="s">
        <v>52</v>
      </c>
      <c r="E241" s="2" t="s">
        <v>59</v>
      </c>
      <c r="F241" s="2" t="s">
        <v>85</v>
      </c>
      <c r="G241" s="2" t="s">
        <v>33</v>
      </c>
      <c r="H241" s="2" t="s">
        <v>389</v>
      </c>
      <c r="I241" s="2" t="s">
        <v>646</v>
      </c>
      <c r="J241" s="2" t="n">
        <v>3</v>
      </c>
      <c r="K241" s="2" t="n">
        <v>8826.57</v>
      </c>
      <c r="L241" s="2" t="s">
        <v>119</v>
      </c>
      <c r="M241" s="2"/>
    </row>
    <row r="242" customFormat="false" ht="15" hidden="false" customHeight="false" outlineLevel="0" collapsed="false">
      <c r="A242" s="2" t="s">
        <v>647</v>
      </c>
      <c r="B242" s="2" t="n">
        <v>41</v>
      </c>
      <c r="C242" s="2" t="s">
        <v>14</v>
      </c>
      <c r="D242" s="2" t="s">
        <v>52</v>
      </c>
      <c r="E242" s="2" t="s">
        <v>37</v>
      </c>
      <c r="F242" s="2" t="s">
        <v>151</v>
      </c>
      <c r="G242" s="2" t="s">
        <v>77</v>
      </c>
      <c r="H242" s="2" t="s">
        <v>644</v>
      </c>
      <c r="I242" s="2" t="s">
        <v>428</v>
      </c>
      <c r="J242" s="2" t="n">
        <v>4</v>
      </c>
      <c r="K242" s="2" t="n">
        <v>7303.56</v>
      </c>
      <c r="L242" s="2" t="s">
        <v>57</v>
      </c>
      <c r="M242" s="2" t="n">
        <v>3.4</v>
      </c>
    </row>
    <row r="243" customFormat="false" ht="15" hidden="false" customHeight="false" outlineLevel="0" collapsed="false">
      <c r="A243" s="2" t="s">
        <v>648</v>
      </c>
      <c r="B243" s="2" t="n">
        <v>70</v>
      </c>
      <c r="C243" s="2" t="s">
        <v>30</v>
      </c>
      <c r="D243" s="2" t="s">
        <v>64</v>
      </c>
      <c r="E243" s="2" t="s">
        <v>37</v>
      </c>
      <c r="F243" s="2" t="s">
        <v>173</v>
      </c>
      <c r="G243" s="2" t="s">
        <v>18</v>
      </c>
      <c r="H243" s="2" t="s">
        <v>649</v>
      </c>
      <c r="I243" s="2" t="s">
        <v>100</v>
      </c>
      <c r="J243" s="2" t="n">
        <v>3</v>
      </c>
      <c r="K243" s="2" t="n">
        <v>5235.82</v>
      </c>
      <c r="L243" s="2" t="s">
        <v>97</v>
      </c>
      <c r="M243" s="2" t="n">
        <v>5</v>
      </c>
    </row>
    <row r="244" customFormat="false" ht="15" hidden="false" customHeight="false" outlineLevel="0" collapsed="false">
      <c r="A244" s="2" t="s">
        <v>650</v>
      </c>
      <c r="B244" s="2" t="n">
        <v>79</v>
      </c>
      <c r="C244" s="2" t="s">
        <v>30</v>
      </c>
      <c r="D244" s="2" t="s">
        <v>23</v>
      </c>
      <c r="E244" s="2" t="s">
        <v>24</v>
      </c>
      <c r="F244" s="2" t="s">
        <v>94</v>
      </c>
      <c r="G244" s="2" t="s">
        <v>26</v>
      </c>
      <c r="H244" s="2" t="s">
        <v>651</v>
      </c>
      <c r="I244" s="2" t="s">
        <v>652</v>
      </c>
      <c r="J244" s="2" t="n">
        <v>11</v>
      </c>
      <c r="K244" s="2" t="n">
        <v>20116.69</v>
      </c>
      <c r="L244" s="2" t="s">
        <v>57</v>
      </c>
      <c r="M244" s="2" t="n">
        <v>2.6</v>
      </c>
    </row>
    <row r="245" customFormat="false" ht="15" hidden="false" customHeight="false" outlineLevel="0" collapsed="false">
      <c r="A245" s="2" t="s">
        <v>653</v>
      </c>
      <c r="B245" s="2" t="n">
        <v>86</v>
      </c>
      <c r="C245" s="2" t="s">
        <v>14</v>
      </c>
      <c r="D245" s="2" t="s">
        <v>31</v>
      </c>
      <c r="E245" s="2" t="s">
        <v>16</v>
      </c>
      <c r="F245" s="2" t="s">
        <v>47</v>
      </c>
      <c r="G245" s="2" t="s">
        <v>18</v>
      </c>
      <c r="H245" s="2" t="s">
        <v>463</v>
      </c>
      <c r="I245" s="2" t="s">
        <v>447</v>
      </c>
      <c r="J245" s="2" t="n">
        <v>3</v>
      </c>
      <c r="K245" s="2" t="n">
        <v>7194.71</v>
      </c>
      <c r="L245" s="2" t="s">
        <v>21</v>
      </c>
      <c r="M245" s="2" t="n">
        <v>2.5</v>
      </c>
    </row>
    <row r="246" customFormat="false" ht="15" hidden="false" customHeight="false" outlineLevel="0" collapsed="false">
      <c r="A246" s="2" t="s">
        <v>654</v>
      </c>
      <c r="B246" s="2" t="n">
        <v>60</v>
      </c>
      <c r="C246" s="2" t="s">
        <v>30</v>
      </c>
      <c r="D246" s="2" t="s">
        <v>31</v>
      </c>
      <c r="E246" s="2" t="s">
        <v>42</v>
      </c>
      <c r="F246" s="2" t="s">
        <v>69</v>
      </c>
      <c r="G246" s="2" t="s">
        <v>33</v>
      </c>
      <c r="H246" s="2" t="s">
        <v>655</v>
      </c>
      <c r="I246" s="2" t="s">
        <v>656</v>
      </c>
      <c r="J246" s="2" t="n">
        <v>1</v>
      </c>
      <c r="K246" s="2" t="n">
        <v>6848.44</v>
      </c>
      <c r="L246" s="2" t="s">
        <v>21</v>
      </c>
      <c r="M246" s="2" t="n">
        <v>3.7</v>
      </c>
    </row>
    <row r="247" customFormat="false" ht="15" hidden="false" customHeight="false" outlineLevel="0" collapsed="false">
      <c r="A247" s="2" t="s">
        <v>657</v>
      </c>
      <c r="B247" s="2" t="n">
        <v>46</v>
      </c>
      <c r="C247" s="2" t="s">
        <v>30</v>
      </c>
      <c r="D247" s="2" t="s">
        <v>15</v>
      </c>
      <c r="E247" s="2" t="s">
        <v>53</v>
      </c>
      <c r="F247" s="2" t="s">
        <v>253</v>
      </c>
      <c r="G247" s="2" t="s">
        <v>48</v>
      </c>
      <c r="H247" s="2" t="s">
        <v>658</v>
      </c>
      <c r="I247" s="2" t="s">
        <v>244</v>
      </c>
      <c r="J247" s="2" t="n">
        <v>1</v>
      </c>
      <c r="K247" s="2" t="n">
        <v>3259.46</v>
      </c>
      <c r="L247" s="2" t="s">
        <v>119</v>
      </c>
      <c r="M247" s="2"/>
    </row>
    <row r="248" customFormat="false" ht="15" hidden="false" customHeight="false" outlineLevel="0" collapsed="false">
      <c r="A248" s="2" t="s">
        <v>659</v>
      </c>
      <c r="B248" s="2" t="n">
        <v>79</v>
      </c>
      <c r="C248" s="2" t="s">
        <v>14</v>
      </c>
      <c r="D248" s="2" t="s">
        <v>15</v>
      </c>
      <c r="E248" s="2" t="s">
        <v>53</v>
      </c>
      <c r="F248" s="2" t="s">
        <v>154</v>
      </c>
      <c r="G248" s="2" t="s">
        <v>86</v>
      </c>
      <c r="H248" s="2" t="s">
        <v>660</v>
      </c>
      <c r="I248" s="2" t="s">
        <v>661</v>
      </c>
      <c r="J248" s="2" t="n">
        <v>1</v>
      </c>
      <c r="K248" s="2" t="n">
        <v>4078.24</v>
      </c>
      <c r="L248" s="2" t="s">
        <v>57</v>
      </c>
      <c r="M248" s="2" t="n">
        <v>3.1</v>
      </c>
    </row>
    <row r="249" customFormat="false" ht="15" hidden="false" customHeight="false" outlineLevel="0" collapsed="false">
      <c r="A249" s="2" t="s">
        <v>662</v>
      </c>
      <c r="B249" s="2" t="n">
        <v>30</v>
      </c>
      <c r="C249" s="2" t="s">
        <v>30</v>
      </c>
      <c r="D249" s="2" t="s">
        <v>52</v>
      </c>
      <c r="E249" s="2" t="s">
        <v>59</v>
      </c>
      <c r="F249" s="2" t="s">
        <v>60</v>
      </c>
      <c r="G249" s="2" t="s">
        <v>33</v>
      </c>
      <c r="H249" s="2" t="s">
        <v>663</v>
      </c>
      <c r="I249" s="2" t="s">
        <v>664</v>
      </c>
      <c r="J249" s="2" t="n">
        <v>5</v>
      </c>
      <c r="K249" s="2" t="n">
        <v>9048.3</v>
      </c>
      <c r="L249" s="2" t="s">
        <v>57</v>
      </c>
      <c r="M249" s="2" t="n">
        <v>3.2</v>
      </c>
    </row>
    <row r="250" customFormat="false" ht="15" hidden="false" customHeight="false" outlineLevel="0" collapsed="false">
      <c r="A250" s="2" t="s">
        <v>665</v>
      </c>
      <c r="B250" s="2" t="n">
        <v>31</v>
      </c>
      <c r="C250" s="2" t="s">
        <v>14</v>
      </c>
      <c r="D250" s="2" t="s">
        <v>64</v>
      </c>
      <c r="E250" s="2" t="s">
        <v>24</v>
      </c>
      <c r="F250" s="2" t="s">
        <v>147</v>
      </c>
      <c r="G250" s="2" t="s">
        <v>26</v>
      </c>
      <c r="H250" s="2" t="s">
        <v>507</v>
      </c>
      <c r="I250" s="2" t="s">
        <v>555</v>
      </c>
      <c r="J250" s="2" t="n">
        <v>6</v>
      </c>
      <c r="K250" s="2" t="n">
        <v>20162.13</v>
      </c>
      <c r="L250" s="2" t="s">
        <v>21</v>
      </c>
      <c r="M250" s="2" t="n">
        <v>3.8</v>
      </c>
    </row>
    <row r="251" customFormat="false" ht="15" hidden="false" customHeight="false" outlineLevel="0" collapsed="false">
      <c r="A251" s="2" t="s">
        <v>666</v>
      </c>
      <c r="B251" s="2" t="n">
        <v>41</v>
      </c>
      <c r="C251" s="2" t="s">
        <v>30</v>
      </c>
      <c r="D251" s="2" t="s">
        <v>52</v>
      </c>
      <c r="E251" s="2" t="s">
        <v>42</v>
      </c>
      <c r="F251" s="2" t="s">
        <v>43</v>
      </c>
      <c r="G251" s="2" t="s">
        <v>77</v>
      </c>
      <c r="H251" s="2" t="s">
        <v>245</v>
      </c>
      <c r="I251" s="2" t="s">
        <v>667</v>
      </c>
      <c r="J251" s="2" t="n">
        <v>2</v>
      </c>
      <c r="K251" s="2" t="n">
        <v>9154.92</v>
      </c>
      <c r="L251" s="2" t="s">
        <v>21</v>
      </c>
      <c r="M251" s="2" t="n">
        <v>3.7</v>
      </c>
    </row>
    <row r="252" customFormat="false" ht="15" hidden="false" customHeight="false" outlineLevel="0" collapsed="false">
      <c r="A252" s="2" t="s">
        <v>668</v>
      </c>
      <c r="B252" s="2" t="n">
        <v>53</v>
      </c>
      <c r="C252" s="2" t="s">
        <v>14</v>
      </c>
      <c r="D252" s="2" t="s">
        <v>23</v>
      </c>
      <c r="E252" s="2" t="s">
        <v>42</v>
      </c>
      <c r="F252" s="2" t="s">
        <v>43</v>
      </c>
      <c r="G252" s="2" t="s">
        <v>33</v>
      </c>
      <c r="H252" s="2" t="s">
        <v>277</v>
      </c>
      <c r="I252" s="2" t="s">
        <v>170</v>
      </c>
      <c r="J252" s="2" t="n">
        <v>5</v>
      </c>
      <c r="K252" s="2" t="n">
        <v>11290.43</v>
      </c>
      <c r="L252" s="2" t="s">
        <v>21</v>
      </c>
      <c r="M252" s="2" t="n">
        <v>1.7</v>
      </c>
    </row>
    <row r="253" customFormat="false" ht="15" hidden="false" customHeight="false" outlineLevel="0" collapsed="false">
      <c r="A253" s="2" t="s">
        <v>669</v>
      </c>
      <c r="B253" s="2" t="n">
        <v>58</v>
      </c>
      <c r="C253" s="2" t="s">
        <v>30</v>
      </c>
      <c r="D253" s="2" t="s">
        <v>23</v>
      </c>
      <c r="E253" s="2" t="s">
        <v>53</v>
      </c>
      <c r="F253" s="2" t="s">
        <v>154</v>
      </c>
      <c r="G253" s="2" t="s">
        <v>33</v>
      </c>
      <c r="H253" s="2" t="s">
        <v>670</v>
      </c>
      <c r="I253" s="2" t="s">
        <v>534</v>
      </c>
      <c r="J253" s="2" t="n">
        <v>2</v>
      </c>
      <c r="K253" s="2" t="n">
        <v>4501.02</v>
      </c>
      <c r="L253" s="2" t="s">
        <v>57</v>
      </c>
      <c r="M253" s="2" t="n">
        <v>2.9</v>
      </c>
    </row>
    <row r="254" customFormat="false" ht="15" hidden="false" customHeight="false" outlineLevel="0" collapsed="false">
      <c r="A254" s="2" t="s">
        <v>671</v>
      </c>
      <c r="B254" s="2" t="n">
        <v>56</v>
      </c>
      <c r="C254" s="2" t="s">
        <v>14</v>
      </c>
      <c r="D254" s="2" t="s">
        <v>64</v>
      </c>
      <c r="E254" s="2" t="s">
        <v>59</v>
      </c>
      <c r="F254" s="2" t="s">
        <v>60</v>
      </c>
      <c r="G254" s="2" t="s">
        <v>18</v>
      </c>
      <c r="H254" s="2" t="s">
        <v>672</v>
      </c>
      <c r="I254" s="2" t="s">
        <v>265</v>
      </c>
      <c r="J254" s="2" t="n">
        <v>7</v>
      </c>
      <c r="K254" s="2" t="n">
        <v>10481.49</v>
      </c>
      <c r="L254" s="2" t="s">
        <v>21</v>
      </c>
      <c r="M254" s="2" t="n">
        <v>2.7</v>
      </c>
    </row>
    <row r="255" customFormat="false" ht="15" hidden="false" customHeight="false" outlineLevel="0" collapsed="false">
      <c r="A255" s="2" t="s">
        <v>673</v>
      </c>
      <c r="B255" s="2" t="n">
        <v>67</v>
      </c>
      <c r="C255" s="2" t="s">
        <v>30</v>
      </c>
      <c r="D255" s="2" t="s">
        <v>64</v>
      </c>
      <c r="E255" s="2" t="s">
        <v>53</v>
      </c>
      <c r="F255" s="2" t="s">
        <v>76</v>
      </c>
      <c r="G255" s="2" t="s">
        <v>26</v>
      </c>
      <c r="H255" s="2" t="s">
        <v>674</v>
      </c>
      <c r="I255" s="2" t="s">
        <v>675</v>
      </c>
      <c r="J255" s="2" t="n">
        <v>4</v>
      </c>
      <c r="K255" s="2" t="n">
        <v>4448.84</v>
      </c>
      <c r="L255" s="2" t="s">
        <v>21</v>
      </c>
      <c r="M255" s="2" t="n">
        <v>3.6</v>
      </c>
    </row>
    <row r="256" customFormat="false" ht="15" hidden="false" customHeight="false" outlineLevel="0" collapsed="false">
      <c r="A256" s="2" t="s">
        <v>676</v>
      </c>
      <c r="B256" s="2" t="n">
        <v>75</v>
      </c>
      <c r="C256" s="2" t="s">
        <v>14</v>
      </c>
      <c r="D256" s="2" t="s">
        <v>15</v>
      </c>
      <c r="E256" s="2" t="s">
        <v>42</v>
      </c>
      <c r="F256" s="2" t="s">
        <v>108</v>
      </c>
      <c r="G256" s="2" t="s">
        <v>18</v>
      </c>
      <c r="H256" s="2" t="s">
        <v>677</v>
      </c>
      <c r="I256" s="2" t="s">
        <v>678</v>
      </c>
      <c r="J256" s="2" t="n">
        <v>7</v>
      </c>
      <c r="K256" s="2" t="n">
        <v>7282.36</v>
      </c>
      <c r="L256" s="2" t="s">
        <v>21</v>
      </c>
      <c r="M256" s="2" t="n">
        <v>2.4</v>
      </c>
    </row>
    <row r="257" customFormat="false" ht="15" hidden="false" customHeight="false" outlineLevel="0" collapsed="false">
      <c r="A257" s="2" t="s">
        <v>679</v>
      </c>
      <c r="B257" s="2" t="n">
        <v>71</v>
      </c>
      <c r="C257" s="2" t="s">
        <v>30</v>
      </c>
      <c r="D257" s="2" t="s">
        <v>52</v>
      </c>
      <c r="E257" s="2" t="s">
        <v>16</v>
      </c>
      <c r="F257" s="2" t="s">
        <v>90</v>
      </c>
      <c r="G257" s="2" t="s">
        <v>26</v>
      </c>
      <c r="H257" s="2" t="s">
        <v>285</v>
      </c>
      <c r="I257" s="2" t="s">
        <v>584</v>
      </c>
      <c r="J257" s="2" t="n">
        <v>4</v>
      </c>
      <c r="K257" s="2" t="n">
        <v>9088.99</v>
      </c>
      <c r="L257" s="2" t="s">
        <v>21</v>
      </c>
      <c r="M257" s="2" t="n">
        <v>3.1</v>
      </c>
    </row>
    <row r="258" customFormat="false" ht="15" hidden="false" customHeight="false" outlineLevel="0" collapsed="false">
      <c r="A258" s="2" t="s">
        <v>680</v>
      </c>
      <c r="B258" s="2" t="n">
        <v>46</v>
      </c>
      <c r="C258" s="2" t="s">
        <v>30</v>
      </c>
      <c r="D258" s="2" t="s">
        <v>64</v>
      </c>
      <c r="E258" s="2" t="s">
        <v>53</v>
      </c>
      <c r="F258" s="2" t="s">
        <v>253</v>
      </c>
      <c r="G258" s="2" t="s">
        <v>26</v>
      </c>
      <c r="H258" s="2" t="s">
        <v>681</v>
      </c>
      <c r="I258" s="2" t="s">
        <v>405</v>
      </c>
      <c r="J258" s="2" t="n">
        <v>2</v>
      </c>
      <c r="K258" s="2" t="n">
        <v>4205.77</v>
      </c>
      <c r="L258" s="2" t="s">
        <v>57</v>
      </c>
      <c r="M258" s="2" t="n">
        <v>4</v>
      </c>
    </row>
    <row r="259" customFormat="false" ht="15" hidden="false" customHeight="false" outlineLevel="0" collapsed="false">
      <c r="A259" s="2" t="s">
        <v>682</v>
      </c>
      <c r="B259" s="2" t="n">
        <v>23</v>
      </c>
      <c r="C259" s="2" t="s">
        <v>30</v>
      </c>
      <c r="D259" s="2" t="s">
        <v>23</v>
      </c>
      <c r="E259" s="2" t="s">
        <v>16</v>
      </c>
      <c r="F259" s="2" t="s">
        <v>32</v>
      </c>
      <c r="G259" s="2" t="s">
        <v>86</v>
      </c>
      <c r="H259" s="2" t="s">
        <v>135</v>
      </c>
      <c r="I259" s="2" t="s">
        <v>136</v>
      </c>
      <c r="J259" s="2" t="n">
        <v>1</v>
      </c>
      <c r="K259" s="2" t="n">
        <v>7610.23</v>
      </c>
      <c r="L259" s="2" t="s">
        <v>119</v>
      </c>
      <c r="M259" s="2"/>
    </row>
    <row r="260" customFormat="false" ht="15" hidden="false" customHeight="false" outlineLevel="0" collapsed="false">
      <c r="A260" s="2" t="s">
        <v>683</v>
      </c>
      <c r="B260" s="2" t="n">
        <v>75</v>
      </c>
      <c r="C260" s="2" t="s">
        <v>30</v>
      </c>
      <c r="D260" s="2" t="s">
        <v>15</v>
      </c>
      <c r="E260" s="2" t="s">
        <v>42</v>
      </c>
      <c r="F260" s="2" t="s">
        <v>108</v>
      </c>
      <c r="G260" s="2" t="s">
        <v>86</v>
      </c>
      <c r="H260" s="2" t="s">
        <v>684</v>
      </c>
      <c r="I260" s="2" t="s">
        <v>685</v>
      </c>
      <c r="J260" s="2" t="n">
        <v>4</v>
      </c>
      <c r="K260" s="2" t="n">
        <v>10793.64</v>
      </c>
      <c r="L260" s="2" t="s">
        <v>97</v>
      </c>
      <c r="M260" s="2" t="n">
        <v>4.7</v>
      </c>
    </row>
    <row r="261" customFormat="false" ht="15" hidden="false" customHeight="false" outlineLevel="0" collapsed="false">
      <c r="A261" s="2" t="s">
        <v>686</v>
      </c>
      <c r="B261" s="2" t="n">
        <v>72</v>
      </c>
      <c r="C261" s="2" t="s">
        <v>14</v>
      </c>
      <c r="D261" s="2" t="s">
        <v>23</v>
      </c>
      <c r="E261" s="2" t="s">
        <v>16</v>
      </c>
      <c r="F261" s="2" t="s">
        <v>17</v>
      </c>
      <c r="G261" s="2" t="s">
        <v>18</v>
      </c>
      <c r="H261" s="2" t="s">
        <v>687</v>
      </c>
      <c r="I261" s="2" t="s">
        <v>392</v>
      </c>
      <c r="J261" s="2" t="n">
        <v>2</v>
      </c>
      <c r="K261" s="2" t="n">
        <v>7243.4</v>
      </c>
      <c r="L261" s="2" t="s">
        <v>21</v>
      </c>
      <c r="M261" s="2" t="n">
        <v>4.7</v>
      </c>
    </row>
    <row r="262" customFormat="false" ht="15" hidden="false" customHeight="false" outlineLevel="0" collapsed="false">
      <c r="A262" s="2" t="s">
        <v>688</v>
      </c>
      <c r="B262" s="2" t="n">
        <v>55</v>
      </c>
      <c r="C262" s="2" t="s">
        <v>30</v>
      </c>
      <c r="D262" s="2" t="s">
        <v>23</v>
      </c>
      <c r="E262" s="2" t="s">
        <v>59</v>
      </c>
      <c r="F262" s="2" t="s">
        <v>60</v>
      </c>
      <c r="G262" s="2" t="s">
        <v>18</v>
      </c>
      <c r="H262" s="2" t="s">
        <v>689</v>
      </c>
      <c r="I262" s="2" t="s">
        <v>690</v>
      </c>
      <c r="J262" s="2" t="n">
        <v>10</v>
      </c>
      <c r="K262" s="2" t="n">
        <v>14511.47</v>
      </c>
      <c r="L262" s="2" t="s">
        <v>57</v>
      </c>
      <c r="M262" s="2" t="n">
        <v>2.2</v>
      </c>
    </row>
    <row r="263" customFormat="false" ht="15" hidden="false" customHeight="false" outlineLevel="0" collapsed="false">
      <c r="A263" s="2" t="s">
        <v>691</v>
      </c>
      <c r="B263" s="2" t="n">
        <v>34</v>
      </c>
      <c r="C263" s="2" t="s">
        <v>14</v>
      </c>
      <c r="D263" s="2" t="s">
        <v>64</v>
      </c>
      <c r="E263" s="2" t="s">
        <v>16</v>
      </c>
      <c r="F263" s="2" t="s">
        <v>47</v>
      </c>
      <c r="G263" s="2" t="s">
        <v>18</v>
      </c>
      <c r="H263" s="2" t="s">
        <v>692</v>
      </c>
      <c r="I263" s="2" t="s">
        <v>693</v>
      </c>
      <c r="J263" s="2" t="n">
        <v>2</v>
      </c>
      <c r="K263" s="2" t="n">
        <v>8497.83</v>
      </c>
      <c r="L263" s="2" t="s">
        <v>21</v>
      </c>
      <c r="M263" s="2" t="n">
        <v>3.2</v>
      </c>
    </row>
    <row r="264" customFormat="false" ht="15" hidden="false" customHeight="false" outlineLevel="0" collapsed="false">
      <c r="A264" s="2" t="s">
        <v>694</v>
      </c>
      <c r="B264" s="2" t="n">
        <v>27</v>
      </c>
      <c r="C264" s="2" t="s">
        <v>14</v>
      </c>
      <c r="D264" s="2" t="s">
        <v>52</v>
      </c>
      <c r="E264" s="2" t="s">
        <v>24</v>
      </c>
      <c r="F264" s="2" t="s">
        <v>372</v>
      </c>
      <c r="G264" s="2" t="s">
        <v>48</v>
      </c>
      <c r="H264" s="2" t="s">
        <v>514</v>
      </c>
      <c r="I264" s="2" t="s">
        <v>695</v>
      </c>
      <c r="J264" s="2" t="n">
        <v>5</v>
      </c>
      <c r="K264" s="2" t="n">
        <v>13668.2</v>
      </c>
      <c r="L264" s="2" t="s">
        <v>21</v>
      </c>
      <c r="M264" s="2" t="n">
        <v>3.8</v>
      </c>
    </row>
    <row r="265" customFormat="false" ht="15" hidden="false" customHeight="false" outlineLevel="0" collapsed="false">
      <c r="A265" s="2" t="s">
        <v>696</v>
      </c>
      <c r="B265" s="2" t="n">
        <v>29</v>
      </c>
      <c r="C265" s="2" t="s">
        <v>30</v>
      </c>
      <c r="D265" s="2" t="s">
        <v>15</v>
      </c>
      <c r="E265" s="2" t="s">
        <v>42</v>
      </c>
      <c r="F265" s="2" t="s">
        <v>108</v>
      </c>
      <c r="G265" s="2" t="s">
        <v>18</v>
      </c>
      <c r="H265" s="2" t="s">
        <v>697</v>
      </c>
      <c r="I265" s="2" t="s">
        <v>698</v>
      </c>
      <c r="J265" s="2" t="n">
        <v>5</v>
      </c>
      <c r="K265" s="2" t="n">
        <v>8729.28</v>
      </c>
      <c r="L265" s="2" t="s">
        <v>21</v>
      </c>
      <c r="M265" s="2" t="n">
        <v>3.4</v>
      </c>
    </row>
    <row r="266" customFormat="false" ht="15" hidden="false" customHeight="false" outlineLevel="0" collapsed="false">
      <c r="A266" s="2" t="s">
        <v>699</v>
      </c>
      <c r="B266" s="2" t="n">
        <v>34</v>
      </c>
      <c r="C266" s="2" t="s">
        <v>30</v>
      </c>
      <c r="D266" s="2" t="s">
        <v>15</v>
      </c>
      <c r="E266" s="2" t="s">
        <v>37</v>
      </c>
      <c r="F266" s="2" t="s">
        <v>158</v>
      </c>
      <c r="G266" s="2" t="s">
        <v>86</v>
      </c>
      <c r="H266" s="2" t="s">
        <v>258</v>
      </c>
      <c r="I266" s="2" t="s">
        <v>152</v>
      </c>
      <c r="J266" s="2" t="n">
        <v>6</v>
      </c>
      <c r="K266" s="2" t="n">
        <v>6430.23</v>
      </c>
      <c r="L266" s="2" t="s">
        <v>21</v>
      </c>
      <c r="M266" s="2" t="n">
        <v>2.6</v>
      </c>
    </row>
    <row r="267" customFormat="false" ht="15" hidden="false" customHeight="false" outlineLevel="0" collapsed="false">
      <c r="A267" s="2" t="s">
        <v>700</v>
      </c>
      <c r="B267" s="2" t="n">
        <v>38</v>
      </c>
      <c r="C267" s="2" t="s">
        <v>30</v>
      </c>
      <c r="D267" s="2" t="s">
        <v>52</v>
      </c>
      <c r="E267" s="2" t="s">
        <v>42</v>
      </c>
      <c r="F267" s="2" t="s">
        <v>108</v>
      </c>
      <c r="G267" s="2" t="s">
        <v>18</v>
      </c>
      <c r="H267" s="2" t="s">
        <v>56</v>
      </c>
      <c r="I267" s="2" t="s">
        <v>222</v>
      </c>
      <c r="J267" s="2" t="n">
        <v>8</v>
      </c>
      <c r="K267" s="2" t="n">
        <v>9805.2</v>
      </c>
      <c r="L267" s="2" t="s">
        <v>21</v>
      </c>
      <c r="M267" s="2" t="n">
        <v>4.4</v>
      </c>
    </row>
    <row r="268" customFormat="false" ht="15" hidden="false" customHeight="false" outlineLevel="0" collapsed="false">
      <c r="A268" s="2" t="s">
        <v>701</v>
      </c>
      <c r="B268" s="2" t="n">
        <v>29</v>
      </c>
      <c r="C268" s="2" t="s">
        <v>30</v>
      </c>
      <c r="D268" s="2" t="s">
        <v>15</v>
      </c>
      <c r="E268" s="2" t="s">
        <v>42</v>
      </c>
      <c r="F268" s="2" t="s">
        <v>81</v>
      </c>
      <c r="G268" s="2" t="s">
        <v>48</v>
      </c>
      <c r="H268" s="2" t="s">
        <v>702</v>
      </c>
      <c r="I268" s="2" t="s">
        <v>447</v>
      </c>
      <c r="J268" s="2" t="n">
        <v>1</v>
      </c>
      <c r="K268" s="2" t="n">
        <v>9764.61</v>
      </c>
      <c r="L268" s="2" t="s">
        <v>21</v>
      </c>
      <c r="M268" s="2" t="n">
        <v>4.4</v>
      </c>
    </row>
    <row r="269" customFormat="false" ht="15" hidden="false" customHeight="false" outlineLevel="0" collapsed="false">
      <c r="A269" s="2" t="s">
        <v>703</v>
      </c>
      <c r="B269" s="2" t="n">
        <v>47</v>
      </c>
      <c r="C269" s="2" t="s">
        <v>30</v>
      </c>
      <c r="D269" s="2" t="s">
        <v>31</v>
      </c>
      <c r="E269" s="2" t="s">
        <v>37</v>
      </c>
      <c r="F269" s="2" t="s">
        <v>158</v>
      </c>
      <c r="G269" s="2" t="s">
        <v>86</v>
      </c>
      <c r="H269" s="2" t="s">
        <v>499</v>
      </c>
      <c r="I269" s="2" t="s">
        <v>704</v>
      </c>
      <c r="J269" s="2" t="n">
        <v>3</v>
      </c>
      <c r="K269" s="2" t="n">
        <v>6785.24</v>
      </c>
      <c r="L269" s="2" t="s">
        <v>21</v>
      </c>
      <c r="M269" s="2" t="n">
        <v>3.6</v>
      </c>
    </row>
    <row r="270" customFormat="false" ht="15" hidden="false" customHeight="false" outlineLevel="0" collapsed="false">
      <c r="A270" s="2" t="s">
        <v>705</v>
      </c>
      <c r="B270" s="2" t="n">
        <v>61</v>
      </c>
      <c r="C270" s="2" t="s">
        <v>14</v>
      </c>
      <c r="D270" s="2" t="s">
        <v>52</v>
      </c>
      <c r="E270" s="2" t="s">
        <v>37</v>
      </c>
      <c r="F270" s="2" t="s">
        <v>151</v>
      </c>
      <c r="G270" s="2" t="s">
        <v>77</v>
      </c>
      <c r="H270" s="2" t="s">
        <v>102</v>
      </c>
      <c r="I270" s="2" t="s">
        <v>103</v>
      </c>
      <c r="J270" s="2" t="n">
        <v>5</v>
      </c>
      <c r="K270" s="2" t="n">
        <v>7562.77</v>
      </c>
      <c r="L270" s="2" t="s">
        <v>57</v>
      </c>
      <c r="M270" s="2" t="n">
        <v>3.9</v>
      </c>
    </row>
    <row r="271" customFormat="false" ht="15" hidden="false" customHeight="false" outlineLevel="0" collapsed="false">
      <c r="A271" s="2" t="s">
        <v>706</v>
      </c>
      <c r="B271" s="2" t="n">
        <v>31</v>
      </c>
      <c r="C271" s="2" t="s">
        <v>30</v>
      </c>
      <c r="D271" s="2" t="s">
        <v>15</v>
      </c>
      <c r="E271" s="2" t="s">
        <v>59</v>
      </c>
      <c r="F271" s="2" t="s">
        <v>65</v>
      </c>
      <c r="G271" s="2" t="s">
        <v>77</v>
      </c>
      <c r="H271" s="2" t="s">
        <v>149</v>
      </c>
      <c r="I271" s="2" t="s">
        <v>707</v>
      </c>
      <c r="J271" s="2" t="n">
        <v>3</v>
      </c>
      <c r="K271" s="2" t="n">
        <v>6411.46</v>
      </c>
      <c r="L271" s="2" t="s">
        <v>21</v>
      </c>
      <c r="M271" s="2" t="n">
        <v>2.8</v>
      </c>
    </row>
    <row r="272" customFormat="false" ht="15" hidden="false" customHeight="false" outlineLevel="0" collapsed="false">
      <c r="A272" s="2" t="s">
        <v>708</v>
      </c>
      <c r="B272" s="2" t="n">
        <v>39</v>
      </c>
      <c r="C272" s="2" t="s">
        <v>30</v>
      </c>
      <c r="D272" s="2" t="s">
        <v>15</v>
      </c>
      <c r="E272" s="2" t="s">
        <v>37</v>
      </c>
      <c r="F272" s="2" t="s">
        <v>151</v>
      </c>
      <c r="G272" s="2" t="s">
        <v>48</v>
      </c>
      <c r="H272" s="2" t="s">
        <v>709</v>
      </c>
      <c r="I272" s="2" t="s">
        <v>710</v>
      </c>
      <c r="J272" s="2" t="n">
        <v>3</v>
      </c>
      <c r="K272" s="2" t="n">
        <v>8033.31</v>
      </c>
      <c r="L272" s="2" t="s">
        <v>21</v>
      </c>
      <c r="M272" s="2" t="n">
        <v>3.2</v>
      </c>
    </row>
    <row r="273" customFormat="false" ht="15" hidden="false" customHeight="false" outlineLevel="0" collapsed="false">
      <c r="A273" s="2" t="s">
        <v>711</v>
      </c>
      <c r="B273" s="2" t="n">
        <v>45</v>
      </c>
      <c r="C273" s="2" t="s">
        <v>14</v>
      </c>
      <c r="D273" s="2" t="s">
        <v>31</v>
      </c>
      <c r="E273" s="2" t="s">
        <v>16</v>
      </c>
      <c r="F273" s="2" t="s">
        <v>90</v>
      </c>
      <c r="G273" s="2" t="s">
        <v>26</v>
      </c>
      <c r="H273" s="2" t="s">
        <v>712</v>
      </c>
      <c r="I273" s="2" t="s">
        <v>313</v>
      </c>
      <c r="J273" s="2" t="n">
        <v>2</v>
      </c>
      <c r="K273" s="2" t="n">
        <v>9225.35</v>
      </c>
      <c r="L273" s="2" t="s">
        <v>57</v>
      </c>
      <c r="M273" s="2" t="n">
        <v>3.7</v>
      </c>
    </row>
    <row r="274" customFormat="false" ht="15" hidden="false" customHeight="false" outlineLevel="0" collapsed="false">
      <c r="A274" s="2" t="s">
        <v>713</v>
      </c>
      <c r="B274" s="2" t="n">
        <v>49</v>
      </c>
      <c r="C274" s="2" t="s">
        <v>30</v>
      </c>
      <c r="D274" s="2" t="s">
        <v>31</v>
      </c>
      <c r="E274" s="2" t="s">
        <v>37</v>
      </c>
      <c r="F274" s="2" t="s">
        <v>173</v>
      </c>
      <c r="G274" s="2" t="s">
        <v>18</v>
      </c>
      <c r="H274" s="2" t="s">
        <v>443</v>
      </c>
      <c r="I274" s="2" t="s">
        <v>714</v>
      </c>
      <c r="J274" s="2" t="n">
        <v>7</v>
      </c>
      <c r="K274" s="2" t="n">
        <v>7743.31</v>
      </c>
      <c r="L274" s="2" t="s">
        <v>21</v>
      </c>
      <c r="M274" s="2" t="n">
        <v>3.2</v>
      </c>
    </row>
    <row r="275" customFormat="false" ht="15" hidden="false" customHeight="false" outlineLevel="0" collapsed="false">
      <c r="A275" s="2" t="s">
        <v>715</v>
      </c>
      <c r="B275" s="2" t="n">
        <v>24</v>
      </c>
      <c r="C275" s="2" t="s">
        <v>14</v>
      </c>
      <c r="D275" s="2" t="s">
        <v>52</v>
      </c>
      <c r="E275" s="2" t="s">
        <v>53</v>
      </c>
      <c r="F275" s="2" t="s">
        <v>154</v>
      </c>
      <c r="G275" s="2" t="s">
        <v>18</v>
      </c>
      <c r="H275" s="2" t="s">
        <v>716</v>
      </c>
      <c r="I275" s="2" t="s">
        <v>717</v>
      </c>
      <c r="J275" s="2" t="n">
        <v>1</v>
      </c>
      <c r="K275" s="2" t="n">
        <v>3412.63</v>
      </c>
      <c r="L275" s="2" t="s">
        <v>57</v>
      </c>
      <c r="M275" s="2" t="n">
        <v>4.4</v>
      </c>
    </row>
    <row r="276" customFormat="false" ht="15" hidden="false" customHeight="false" outlineLevel="0" collapsed="false">
      <c r="A276" s="2" t="s">
        <v>718</v>
      </c>
      <c r="B276" s="2" t="n">
        <v>58</v>
      </c>
      <c r="C276" s="2" t="s">
        <v>14</v>
      </c>
      <c r="D276" s="2" t="s">
        <v>52</v>
      </c>
      <c r="E276" s="2" t="s">
        <v>24</v>
      </c>
      <c r="F276" s="2" t="s">
        <v>94</v>
      </c>
      <c r="G276" s="2" t="s">
        <v>33</v>
      </c>
      <c r="H276" s="2" t="s">
        <v>719</v>
      </c>
      <c r="I276" s="2" t="s">
        <v>720</v>
      </c>
      <c r="J276" s="2" t="n">
        <v>8</v>
      </c>
      <c r="K276" s="2" t="n">
        <v>16118.86</v>
      </c>
      <c r="L276" s="2" t="s">
        <v>119</v>
      </c>
      <c r="M276" s="2"/>
    </row>
    <row r="277" customFormat="false" ht="15" hidden="false" customHeight="false" outlineLevel="0" collapsed="false">
      <c r="A277" s="2" t="s">
        <v>721</v>
      </c>
      <c r="B277" s="2" t="n">
        <v>27</v>
      </c>
      <c r="C277" s="2" t="s">
        <v>14</v>
      </c>
      <c r="D277" s="2" t="s">
        <v>23</v>
      </c>
      <c r="E277" s="2" t="s">
        <v>42</v>
      </c>
      <c r="F277" s="2" t="s">
        <v>69</v>
      </c>
      <c r="G277" s="2" t="s">
        <v>33</v>
      </c>
      <c r="H277" s="2" t="s">
        <v>722</v>
      </c>
      <c r="I277" s="2" t="s">
        <v>704</v>
      </c>
      <c r="J277" s="2" t="n">
        <v>1</v>
      </c>
      <c r="K277" s="2" t="n">
        <v>9481.73</v>
      </c>
      <c r="L277" s="2" t="s">
        <v>97</v>
      </c>
      <c r="M277" s="2" t="n">
        <v>3.8</v>
      </c>
    </row>
    <row r="278" customFormat="false" ht="15" hidden="false" customHeight="false" outlineLevel="0" collapsed="false">
      <c r="A278" s="2" t="s">
        <v>723</v>
      </c>
      <c r="B278" s="2" t="n">
        <v>82</v>
      </c>
      <c r="C278" s="2" t="s">
        <v>30</v>
      </c>
      <c r="D278" s="2" t="s">
        <v>23</v>
      </c>
      <c r="E278" s="2" t="s">
        <v>53</v>
      </c>
      <c r="F278" s="2" t="s">
        <v>253</v>
      </c>
      <c r="G278" s="2" t="s">
        <v>48</v>
      </c>
      <c r="H278" s="2" t="s">
        <v>445</v>
      </c>
      <c r="I278" s="2" t="s">
        <v>235</v>
      </c>
      <c r="J278" s="2" t="n">
        <v>5</v>
      </c>
      <c r="K278" s="2" t="n">
        <v>5592.96</v>
      </c>
      <c r="L278" s="2" t="s">
        <v>21</v>
      </c>
      <c r="M278" s="2" t="n">
        <v>3.4</v>
      </c>
    </row>
    <row r="279" customFormat="false" ht="15" hidden="false" customHeight="false" outlineLevel="0" collapsed="false">
      <c r="A279" s="2" t="s">
        <v>724</v>
      </c>
      <c r="B279" s="2" t="n">
        <v>83</v>
      </c>
      <c r="C279" s="2" t="s">
        <v>14</v>
      </c>
      <c r="D279" s="2" t="s">
        <v>64</v>
      </c>
      <c r="E279" s="2" t="s">
        <v>24</v>
      </c>
      <c r="F279" s="2" t="s">
        <v>372</v>
      </c>
      <c r="G279" s="2" t="s">
        <v>77</v>
      </c>
      <c r="H279" s="2" t="s">
        <v>526</v>
      </c>
      <c r="I279" s="2" t="s">
        <v>725</v>
      </c>
      <c r="J279" s="2" t="n">
        <v>10</v>
      </c>
      <c r="K279" s="2" t="n">
        <v>15217.96</v>
      </c>
      <c r="L279" s="2" t="s">
        <v>97</v>
      </c>
      <c r="M279" s="2" t="n">
        <v>2.3</v>
      </c>
    </row>
    <row r="280" customFormat="false" ht="15" hidden="false" customHeight="false" outlineLevel="0" collapsed="false">
      <c r="A280" s="2" t="s">
        <v>726</v>
      </c>
      <c r="B280" s="2" t="n">
        <v>26</v>
      </c>
      <c r="C280" s="2" t="s">
        <v>30</v>
      </c>
      <c r="D280" s="2" t="s">
        <v>52</v>
      </c>
      <c r="E280" s="2" t="s">
        <v>37</v>
      </c>
      <c r="F280" s="2" t="s">
        <v>151</v>
      </c>
      <c r="G280" s="2" t="s">
        <v>86</v>
      </c>
      <c r="H280" s="2" t="s">
        <v>239</v>
      </c>
      <c r="I280" s="2" t="s">
        <v>727</v>
      </c>
      <c r="J280" s="2" t="n">
        <v>6</v>
      </c>
      <c r="K280" s="2" t="n">
        <v>8505.55</v>
      </c>
      <c r="L280" s="2" t="s">
        <v>21</v>
      </c>
      <c r="M280" s="2" t="n">
        <v>3</v>
      </c>
    </row>
    <row r="281" customFormat="false" ht="15" hidden="false" customHeight="false" outlineLevel="0" collapsed="false">
      <c r="A281" s="2" t="s">
        <v>728</v>
      </c>
      <c r="B281" s="2" t="n">
        <v>40</v>
      </c>
      <c r="C281" s="2" t="s">
        <v>14</v>
      </c>
      <c r="D281" s="2" t="s">
        <v>31</v>
      </c>
      <c r="E281" s="2" t="s">
        <v>37</v>
      </c>
      <c r="F281" s="2" t="s">
        <v>151</v>
      </c>
      <c r="G281" s="2" t="s">
        <v>48</v>
      </c>
      <c r="H281" s="2" t="s">
        <v>73</v>
      </c>
      <c r="I281" s="2" t="s">
        <v>729</v>
      </c>
      <c r="J281" s="2" t="n">
        <v>3</v>
      </c>
      <c r="K281" s="2" t="n">
        <v>8101.9</v>
      </c>
      <c r="L281" s="2" t="s">
        <v>21</v>
      </c>
      <c r="M281" s="2" t="n">
        <v>5</v>
      </c>
    </row>
    <row r="282" customFormat="false" ht="15" hidden="false" customHeight="false" outlineLevel="0" collapsed="false">
      <c r="A282" s="2" t="s">
        <v>730</v>
      </c>
      <c r="B282" s="2" t="n">
        <v>51</v>
      </c>
      <c r="C282" s="2" t="s">
        <v>14</v>
      </c>
      <c r="D282" s="2" t="s">
        <v>15</v>
      </c>
      <c r="E282" s="2" t="s">
        <v>16</v>
      </c>
      <c r="F282" s="2" t="s">
        <v>47</v>
      </c>
      <c r="G282" s="2" t="s">
        <v>48</v>
      </c>
      <c r="H282" s="2" t="s">
        <v>88</v>
      </c>
      <c r="I282" s="2" t="s">
        <v>539</v>
      </c>
      <c r="J282" s="2" t="n">
        <v>4</v>
      </c>
      <c r="K282" s="2" t="n">
        <v>8451.66</v>
      </c>
      <c r="L282" s="2" t="s">
        <v>57</v>
      </c>
      <c r="M282" s="2" t="n">
        <v>3.6</v>
      </c>
    </row>
    <row r="283" customFormat="false" ht="15" hidden="false" customHeight="false" outlineLevel="0" collapsed="false">
      <c r="A283" s="2" t="s">
        <v>731</v>
      </c>
      <c r="B283" s="2" t="n">
        <v>27</v>
      </c>
      <c r="C283" s="2" t="s">
        <v>30</v>
      </c>
      <c r="D283" s="2" t="s">
        <v>52</v>
      </c>
      <c r="E283" s="2" t="s">
        <v>24</v>
      </c>
      <c r="F283" s="2" t="s">
        <v>372</v>
      </c>
      <c r="G283" s="2" t="s">
        <v>86</v>
      </c>
      <c r="H283" s="2" t="s">
        <v>716</v>
      </c>
      <c r="I283" s="2" t="s">
        <v>82</v>
      </c>
      <c r="J283" s="2" t="n">
        <v>8</v>
      </c>
      <c r="K283" s="2" t="n">
        <v>19349.93</v>
      </c>
      <c r="L283" s="2" t="s">
        <v>21</v>
      </c>
      <c r="M283" s="2" t="n">
        <v>3.1</v>
      </c>
    </row>
    <row r="284" customFormat="false" ht="15" hidden="false" customHeight="false" outlineLevel="0" collapsed="false">
      <c r="A284" s="2" t="s">
        <v>732</v>
      </c>
      <c r="B284" s="2" t="n">
        <v>31</v>
      </c>
      <c r="C284" s="2" t="s">
        <v>14</v>
      </c>
      <c r="D284" s="2" t="s">
        <v>64</v>
      </c>
      <c r="E284" s="2" t="s">
        <v>37</v>
      </c>
      <c r="F284" s="2" t="s">
        <v>158</v>
      </c>
      <c r="G284" s="2" t="s">
        <v>86</v>
      </c>
      <c r="H284" s="2" t="s">
        <v>733</v>
      </c>
      <c r="I284" s="2" t="s">
        <v>734</v>
      </c>
      <c r="J284" s="2" t="n">
        <v>4</v>
      </c>
      <c r="K284" s="2" t="n">
        <v>8342.04</v>
      </c>
      <c r="L284" s="2" t="s">
        <v>21</v>
      </c>
      <c r="M284" s="2" t="n">
        <v>4.6</v>
      </c>
    </row>
    <row r="285" customFormat="false" ht="15" hidden="false" customHeight="false" outlineLevel="0" collapsed="false">
      <c r="A285" s="2" t="s">
        <v>735</v>
      </c>
      <c r="B285" s="2" t="n">
        <v>22</v>
      </c>
      <c r="C285" s="2" t="s">
        <v>30</v>
      </c>
      <c r="D285" s="2" t="s">
        <v>64</v>
      </c>
      <c r="E285" s="2" t="s">
        <v>59</v>
      </c>
      <c r="F285" s="2" t="s">
        <v>65</v>
      </c>
      <c r="G285" s="2" t="s">
        <v>77</v>
      </c>
      <c r="H285" s="2" t="s">
        <v>736</v>
      </c>
      <c r="I285" s="2" t="s">
        <v>737</v>
      </c>
      <c r="J285" s="2" t="n">
        <v>8</v>
      </c>
      <c r="K285" s="2" t="n">
        <v>9927.06</v>
      </c>
      <c r="L285" s="2" t="s">
        <v>21</v>
      </c>
      <c r="M285" s="2" t="n">
        <v>3.7</v>
      </c>
    </row>
    <row r="286" customFormat="false" ht="15" hidden="false" customHeight="false" outlineLevel="0" collapsed="false">
      <c r="A286" s="2" t="s">
        <v>738</v>
      </c>
      <c r="B286" s="2" t="n">
        <v>82</v>
      </c>
      <c r="C286" s="2" t="s">
        <v>14</v>
      </c>
      <c r="D286" s="2" t="s">
        <v>64</v>
      </c>
      <c r="E286" s="2" t="s">
        <v>16</v>
      </c>
      <c r="F286" s="2" t="s">
        <v>90</v>
      </c>
      <c r="G286" s="2" t="s">
        <v>77</v>
      </c>
      <c r="H286" s="2" t="s">
        <v>124</v>
      </c>
      <c r="I286" s="2" t="s">
        <v>103</v>
      </c>
      <c r="J286" s="2" t="n">
        <v>7</v>
      </c>
      <c r="K286" s="2" t="n">
        <v>7984.07</v>
      </c>
      <c r="L286" s="2" t="s">
        <v>57</v>
      </c>
      <c r="M286" s="2" t="n">
        <v>3.3</v>
      </c>
    </row>
    <row r="287" customFormat="false" ht="15" hidden="false" customHeight="false" outlineLevel="0" collapsed="false">
      <c r="A287" s="2" t="s">
        <v>739</v>
      </c>
      <c r="B287" s="2" t="n">
        <v>76</v>
      </c>
      <c r="C287" s="2" t="s">
        <v>14</v>
      </c>
      <c r="D287" s="2" t="s">
        <v>15</v>
      </c>
      <c r="E287" s="2" t="s">
        <v>16</v>
      </c>
      <c r="F287" s="2" t="s">
        <v>47</v>
      </c>
      <c r="G287" s="2" t="s">
        <v>26</v>
      </c>
      <c r="H287" s="2" t="s">
        <v>740</v>
      </c>
      <c r="I287" s="2" t="s">
        <v>741</v>
      </c>
      <c r="J287" s="2" t="n">
        <v>5</v>
      </c>
      <c r="K287" s="2" t="n">
        <v>9129.74</v>
      </c>
      <c r="L287" s="2" t="s">
        <v>21</v>
      </c>
      <c r="M287" s="2" t="n">
        <v>3</v>
      </c>
    </row>
    <row r="288" customFormat="false" ht="15" hidden="false" customHeight="false" outlineLevel="0" collapsed="false">
      <c r="A288" s="2" t="s">
        <v>742</v>
      </c>
      <c r="B288" s="2" t="n">
        <v>81</v>
      </c>
      <c r="C288" s="2" t="s">
        <v>14</v>
      </c>
      <c r="D288" s="2" t="s">
        <v>23</v>
      </c>
      <c r="E288" s="2" t="s">
        <v>16</v>
      </c>
      <c r="F288" s="2" t="s">
        <v>17</v>
      </c>
      <c r="G288" s="2" t="s">
        <v>86</v>
      </c>
      <c r="H288" s="2" t="s">
        <v>268</v>
      </c>
      <c r="I288" s="2" t="s">
        <v>743</v>
      </c>
      <c r="J288" s="2" t="n">
        <v>7</v>
      </c>
      <c r="K288" s="2" t="n">
        <v>10269.17</v>
      </c>
      <c r="L288" s="2" t="s">
        <v>21</v>
      </c>
      <c r="M288" s="2" t="n">
        <v>3.4</v>
      </c>
    </row>
    <row r="289" customFormat="false" ht="15" hidden="false" customHeight="false" outlineLevel="0" collapsed="false">
      <c r="A289" s="2" t="s">
        <v>744</v>
      </c>
      <c r="B289" s="2" t="n">
        <v>60</v>
      </c>
      <c r="C289" s="2" t="s">
        <v>14</v>
      </c>
      <c r="D289" s="2" t="s">
        <v>52</v>
      </c>
      <c r="E289" s="2" t="s">
        <v>37</v>
      </c>
      <c r="F289" s="2" t="s">
        <v>173</v>
      </c>
      <c r="G289" s="2" t="s">
        <v>86</v>
      </c>
      <c r="H289" s="2" t="s">
        <v>349</v>
      </c>
      <c r="I289" s="2" t="s">
        <v>498</v>
      </c>
      <c r="J289" s="2" t="n">
        <v>5</v>
      </c>
      <c r="K289" s="2" t="n">
        <v>6702.83</v>
      </c>
      <c r="L289" s="2" t="s">
        <v>21</v>
      </c>
      <c r="M289" s="2" t="n">
        <v>3.5</v>
      </c>
    </row>
    <row r="290" customFormat="false" ht="15" hidden="false" customHeight="false" outlineLevel="0" collapsed="false">
      <c r="A290" s="2" t="s">
        <v>745</v>
      </c>
      <c r="B290" s="2" t="n">
        <v>25</v>
      </c>
      <c r="C290" s="2" t="s">
        <v>14</v>
      </c>
      <c r="D290" s="2" t="s">
        <v>15</v>
      </c>
      <c r="E290" s="2" t="s">
        <v>42</v>
      </c>
      <c r="F290" s="2" t="s">
        <v>69</v>
      </c>
      <c r="G290" s="2" t="s">
        <v>18</v>
      </c>
      <c r="H290" s="2" t="s">
        <v>274</v>
      </c>
      <c r="I290" s="2" t="s">
        <v>179</v>
      </c>
      <c r="J290" s="2" t="n">
        <v>1</v>
      </c>
      <c r="K290" s="2" t="n">
        <v>10777.36</v>
      </c>
      <c r="L290" s="2" t="s">
        <v>21</v>
      </c>
      <c r="M290" s="2" t="n">
        <v>3.7</v>
      </c>
    </row>
    <row r="291" customFormat="false" ht="15" hidden="false" customHeight="false" outlineLevel="0" collapsed="false">
      <c r="A291" s="2" t="s">
        <v>746</v>
      </c>
      <c r="B291" s="2" t="n">
        <v>82</v>
      </c>
      <c r="C291" s="2" t="s">
        <v>14</v>
      </c>
      <c r="D291" s="2" t="s">
        <v>52</v>
      </c>
      <c r="E291" s="2" t="s">
        <v>42</v>
      </c>
      <c r="F291" s="2" t="s">
        <v>69</v>
      </c>
      <c r="G291" s="2" t="s">
        <v>77</v>
      </c>
      <c r="H291" s="2" t="s">
        <v>496</v>
      </c>
      <c r="I291" s="2" t="s">
        <v>747</v>
      </c>
      <c r="J291" s="2" t="n">
        <v>3</v>
      </c>
      <c r="K291" s="2" t="n">
        <v>10918.25</v>
      </c>
      <c r="L291" s="2" t="s">
        <v>21</v>
      </c>
      <c r="M291" s="2" t="n">
        <v>3.5</v>
      </c>
    </row>
    <row r="292" customFormat="false" ht="15" hidden="false" customHeight="false" outlineLevel="0" collapsed="false">
      <c r="A292" s="2" t="s">
        <v>748</v>
      </c>
      <c r="B292" s="2" t="n">
        <v>58</v>
      </c>
      <c r="C292" s="2" t="s">
        <v>30</v>
      </c>
      <c r="D292" s="2" t="s">
        <v>15</v>
      </c>
      <c r="E292" s="2" t="s">
        <v>59</v>
      </c>
      <c r="F292" s="2" t="s">
        <v>85</v>
      </c>
      <c r="G292" s="2" t="s">
        <v>33</v>
      </c>
      <c r="H292" s="2" t="s">
        <v>288</v>
      </c>
      <c r="I292" s="2" t="s">
        <v>685</v>
      </c>
      <c r="J292" s="2" t="n">
        <v>7</v>
      </c>
      <c r="K292" s="2" t="n">
        <v>10014</v>
      </c>
      <c r="L292" s="2" t="s">
        <v>97</v>
      </c>
      <c r="M292" s="2" t="n">
        <v>3.1</v>
      </c>
    </row>
    <row r="293" customFormat="false" ht="15" hidden="false" customHeight="false" outlineLevel="0" collapsed="false">
      <c r="A293" s="2" t="s">
        <v>749</v>
      </c>
      <c r="B293" s="2" t="n">
        <v>39</v>
      </c>
      <c r="C293" s="2" t="s">
        <v>30</v>
      </c>
      <c r="D293" s="2" t="s">
        <v>52</v>
      </c>
      <c r="E293" s="2" t="s">
        <v>59</v>
      </c>
      <c r="F293" s="2" t="s">
        <v>85</v>
      </c>
      <c r="G293" s="2" t="s">
        <v>86</v>
      </c>
      <c r="H293" s="2" t="s">
        <v>750</v>
      </c>
      <c r="I293" s="2" t="s">
        <v>751</v>
      </c>
      <c r="J293" s="2" t="n">
        <v>5</v>
      </c>
      <c r="K293" s="2" t="n">
        <v>7332.43</v>
      </c>
      <c r="L293" s="2" t="s">
        <v>21</v>
      </c>
      <c r="M293" s="2" t="n">
        <v>4.5</v>
      </c>
    </row>
    <row r="294" customFormat="false" ht="15" hidden="false" customHeight="false" outlineLevel="0" collapsed="false">
      <c r="A294" s="2" t="s">
        <v>752</v>
      </c>
      <c r="B294" s="2" t="n">
        <v>77</v>
      </c>
      <c r="C294" s="2" t="s">
        <v>30</v>
      </c>
      <c r="D294" s="2" t="s">
        <v>31</v>
      </c>
      <c r="E294" s="2" t="s">
        <v>42</v>
      </c>
      <c r="F294" s="2" t="s">
        <v>43</v>
      </c>
      <c r="G294" s="2" t="s">
        <v>48</v>
      </c>
      <c r="H294" s="2" t="s">
        <v>740</v>
      </c>
      <c r="I294" s="2" t="s">
        <v>219</v>
      </c>
      <c r="J294" s="2" t="n">
        <v>7</v>
      </c>
      <c r="K294" s="2" t="n">
        <v>8970.14</v>
      </c>
      <c r="L294" s="2" t="s">
        <v>21</v>
      </c>
      <c r="M294" s="2" t="n">
        <v>3.8</v>
      </c>
    </row>
    <row r="295" customFormat="false" ht="15" hidden="false" customHeight="false" outlineLevel="0" collapsed="false">
      <c r="A295" s="2" t="s">
        <v>753</v>
      </c>
      <c r="B295" s="2" t="n">
        <v>29</v>
      </c>
      <c r="C295" s="2" t="s">
        <v>14</v>
      </c>
      <c r="D295" s="2" t="s">
        <v>15</v>
      </c>
      <c r="E295" s="2" t="s">
        <v>53</v>
      </c>
      <c r="F295" s="2" t="s">
        <v>154</v>
      </c>
      <c r="G295" s="2" t="s">
        <v>48</v>
      </c>
      <c r="H295" s="2" t="s">
        <v>754</v>
      </c>
      <c r="I295" s="2" t="s">
        <v>429</v>
      </c>
      <c r="J295" s="2" t="n">
        <v>1</v>
      </c>
      <c r="K295" s="2" t="n">
        <v>3475.07</v>
      </c>
      <c r="L295" s="2" t="s">
        <v>21</v>
      </c>
      <c r="M295" s="2" t="n">
        <v>5</v>
      </c>
    </row>
    <row r="296" customFormat="false" ht="15" hidden="false" customHeight="false" outlineLevel="0" collapsed="false">
      <c r="A296" s="2" t="s">
        <v>755</v>
      </c>
      <c r="B296" s="2" t="n">
        <v>69</v>
      </c>
      <c r="C296" s="2" t="s">
        <v>30</v>
      </c>
      <c r="D296" s="2" t="s">
        <v>23</v>
      </c>
      <c r="E296" s="2" t="s">
        <v>37</v>
      </c>
      <c r="F296" s="2" t="s">
        <v>151</v>
      </c>
      <c r="G296" s="2" t="s">
        <v>86</v>
      </c>
      <c r="H296" s="2" t="s">
        <v>112</v>
      </c>
      <c r="I296" s="2" t="s">
        <v>600</v>
      </c>
      <c r="J296" s="2" t="n">
        <v>8</v>
      </c>
      <c r="K296" s="2" t="n">
        <v>9867.85</v>
      </c>
      <c r="L296" s="2" t="s">
        <v>21</v>
      </c>
      <c r="M296" s="2" t="n">
        <v>4.5</v>
      </c>
    </row>
    <row r="297" customFormat="false" ht="15" hidden="false" customHeight="false" outlineLevel="0" collapsed="false">
      <c r="A297" s="2" t="s">
        <v>756</v>
      </c>
      <c r="B297" s="2" t="n">
        <v>46</v>
      </c>
      <c r="C297" s="2" t="s">
        <v>14</v>
      </c>
      <c r="D297" s="2" t="s">
        <v>64</v>
      </c>
      <c r="E297" s="2" t="s">
        <v>53</v>
      </c>
      <c r="F297" s="2" t="s">
        <v>54</v>
      </c>
      <c r="G297" s="2" t="s">
        <v>48</v>
      </c>
      <c r="H297" s="2" t="s">
        <v>71</v>
      </c>
      <c r="I297" s="2" t="s">
        <v>304</v>
      </c>
      <c r="J297" s="2" t="n">
        <v>3</v>
      </c>
      <c r="K297" s="2" t="n">
        <v>4647.8</v>
      </c>
      <c r="L297" s="2" t="s">
        <v>21</v>
      </c>
      <c r="M297" s="2" t="n">
        <v>3.5</v>
      </c>
    </row>
    <row r="298" customFormat="false" ht="15" hidden="false" customHeight="false" outlineLevel="0" collapsed="false">
      <c r="A298" s="2" t="s">
        <v>757</v>
      </c>
      <c r="B298" s="2" t="n">
        <v>27</v>
      </c>
      <c r="C298" s="2" t="s">
        <v>14</v>
      </c>
      <c r="D298" s="2" t="s">
        <v>31</v>
      </c>
      <c r="E298" s="2" t="s">
        <v>16</v>
      </c>
      <c r="F298" s="2" t="s">
        <v>32</v>
      </c>
      <c r="G298" s="2" t="s">
        <v>18</v>
      </c>
      <c r="H298" s="2" t="s">
        <v>758</v>
      </c>
      <c r="I298" s="2" t="s">
        <v>509</v>
      </c>
      <c r="J298" s="2" t="n">
        <v>6</v>
      </c>
      <c r="K298" s="2" t="n">
        <v>8079</v>
      </c>
      <c r="L298" s="2" t="s">
        <v>21</v>
      </c>
      <c r="M298" s="2" t="n">
        <v>4.3</v>
      </c>
    </row>
    <row r="299" customFormat="false" ht="15" hidden="false" customHeight="false" outlineLevel="0" collapsed="false">
      <c r="A299" s="2" t="s">
        <v>759</v>
      </c>
      <c r="B299" s="2" t="n">
        <v>39</v>
      </c>
      <c r="C299" s="2" t="s">
        <v>30</v>
      </c>
      <c r="D299" s="2" t="s">
        <v>52</v>
      </c>
      <c r="E299" s="2" t="s">
        <v>53</v>
      </c>
      <c r="F299" s="2" t="s">
        <v>154</v>
      </c>
      <c r="G299" s="2" t="s">
        <v>77</v>
      </c>
      <c r="H299" s="2" t="s">
        <v>49</v>
      </c>
      <c r="I299" s="2" t="s">
        <v>760</v>
      </c>
      <c r="J299" s="2" t="n">
        <v>2</v>
      </c>
      <c r="K299" s="2" t="n">
        <v>3464.16</v>
      </c>
      <c r="L299" s="2" t="s">
        <v>57</v>
      </c>
      <c r="M299" s="2" t="n">
        <v>4</v>
      </c>
    </row>
    <row r="300" customFormat="false" ht="15" hidden="false" customHeight="false" outlineLevel="0" collapsed="false">
      <c r="A300" s="2" t="s">
        <v>761</v>
      </c>
      <c r="B300" s="2" t="n">
        <v>53</v>
      </c>
      <c r="C300" s="2" t="s">
        <v>30</v>
      </c>
      <c r="D300" s="2" t="s">
        <v>52</v>
      </c>
      <c r="E300" s="2" t="s">
        <v>16</v>
      </c>
      <c r="F300" s="2" t="s">
        <v>90</v>
      </c>
      <c r="G300" s="2" t="s">
        <v>26</v>
      </c>
      <c r="H300" s="2" t="s">
        <v>762</v>
      </c>
      <c r="I300" s="2" t="s">
        <v>640</v>
      </c>
      <c r="J300" s="2" t="n">
        <v>1</v>
      </c>
      <c r="K300" s="2" t="n">
        <v>6205.95</v>
      </c>
      <c r="L300" s="2" t="s">
        <v>21</v>
      </c>
      <c r="M300" s="2" t="n">
        <v>4.3</v>
      </c>
    </row>
    <row r="301" customFormat="false" ht="15" hidden="false" customHeight="false" outlineLevel="0" collapsed="false">
      <c r="A301" s="2" t="s">
        <v>763</v>
      </c>
      <c r="B301" s="2" t="n">
        <v>29</v>
      </c>
      <c r="C301" s="2" t="s">
        <v>30</v>
      </c>
      <c r="D301" s="2" t="s">
        <v>52</v>
      </c>
      <c r="E301" s="2" t="s">
        <v>16</v>
      </c>
      <c r="F301" s="2" t="s">
        <v>32</v>
      </c>
      <c r="G301" s="2" t="s">
        <v>18</v>
      </c>
      <c r="H301" s="2" t="s">
        <v>209</v>
      </c>
      <c r="I301" s="2" t="s">
        <v>589</v>
      </c>
      <c r="J301" s="2" t="n">
        <v>1</v>
      </c>
      <c r="K301" s="2" t="n">
        <v>8916.98</v>
      </c>
      <c r="L301" s="2" t="s">
        <v>21</v>
      </c>
      <c r="M301" s="2" t="n">
        <v>3.2</v>
      </c>
    </row>
    <row r="302" customFormat="false" ht="15" hidden="false" customHeight="false" outlineLevel="0" collapsed="false">
      <c r="A302" s="2" t="s">
        <v>764</v>
      </c>
      <c r="B302" s="2" t="n">
        <v>87</v>
      </c>
      <c r="C302" s="2" t="s">
        <v>14</v>
      </c>
      <c r="D302" s="2" t="s">
        <v>52</v>
      </c>
      <c r="E302" s="2" t="s">
        <v>37</v>
      </c>
      <c r="F302" s="2" t="s">
        <v>173</v>
      </c>
      <c r="G302" s="2" t="s">
        <v>77</v>
      </c>
      <c r="H302" s="2" t="s">
        <v>133</v>
      </c>
      <c r="I302" s="2" t="s">
        <v>96</v>
      </c>
      <c r="J302" s="2" t="n">
        <v>6</v>
      </c>
      <c r="K302" s="2" t="n">
        <v>6909.5</v>
      </c>
      <c r="L302" s="2" t="s">
        <v>21</v>
      </c>
      <c r="M302" s="2" t="n">
        <v>3.3</v>
      </c>
    </row>
    <row r="303" customFormat="false" ht="15" hidden="false" customHeight="false" outlineLevel="0" collapsed="false">
      <c r="A303" s="2" t="s">
        <v>765</v>
      </c>
      <c r="B303" s="2" t="n">
        <v>21</v>
      </c>
      <c r="C303" s="2" t="s">
        <v>30</v>
      </c>
      <c r="D303" s="2" t="s">
        <v>23</v>
      </c>
      <c r="E303" s="2" t="s">
        <v>16</v>
      </c>
      <c r="F303" s="2" t="s">
        <v>90</v>
      </c>
      <c r="G303" s="2" t="s">
        <v>33</v>
      </c>
      <c r="H303" s="2" t="s">
        <v>121</v>
      </c>
      <c r="I303" s="2" t="s">
        <v>532</v>
      </c>
      <c r="J303" s="2" t="n">
        <v>4</v>
      </c>
      <c r="K303" s="2" t="n">
        <v>9386.02</v>
      </c>
      <c r="L303" s="2" t="s">
        <v>21</v>
      </c>
      <c r="M303" s="2" t="n">
        <v>2.9</v>
      </c>
    </row>
    <row r="304" customFormat="false" ht="15" hidden="false" customHeight="false" outlineLevel="0" collapsed="false">
      <c r="A304" s="2" t="s">
        <v>766</v>
      </c>
      <c r="B304" s="2" t="n">
        <v>47</v>
      </c>
      <c r="C304" s="2" t="s">
        <v>14</v>
      </c>
      <c r="D304" s="2" t="s">
        <v>31</v>
      </c>
      <c r="E304" s="2" t="s">
        <v>16</v>
      </c>
      <c r="F304" s="2" t="s">
        <v>17</v>
      </c>
      <c r="G304" s="2" t="s">
        <v>33</v>
      </c>
      <c r="H304" s="2" t="s">
        <v>454</v>
      </c>
      <c r="I304" s="2" t="s">
        <v>767</v>
      </c>
      <c r="J304" s="2" t="n">
        <v>5</v>
      </c>
      <c r="K304" s="2" t="n">
        <v>6260</v>
      </c>
      <c r="L304" s="2" t="s">
        <v>21</v>
      </c>
      <c r="M304" s="2" t="n">
        <v>4</v>
      </c>
    </row>
    <row r="305" customFormat="false" ht="15" hidden="false" customHeight="false" outlineLevel="0" collapsed="false">
      <c r="A305" s="2" t="s">
        <v>768</v>
      </c>
      <c r="B305" s="2" t="n">
        <v>67</v>
      </c>
      <c r="C305" s="2" t="s">
        <v>30</v>
      </c>
      <c r="D305" s="2" t="s">
        <v>64</v>
      </c>
      <c r="E305" s="2" t="s">
        <v>16</v>
      </c>
      <c r="F305" s="2" t="s">
        <v>17</v>
      </c>
      <c r="G305" s="2" t="s">
        <v>26</v>
      </c>
      <c r="H305" s="2" t="s">
        <v>769</v>
      </c>
      <c r="I305" s="2" t="s">
        <v>549</v>
      </c>
      <c r="J305" s="2" t="n">
        <v>4</v>
      </c>
      <c r="K305" s="2" t="n">
        <v>9570.35</v>
      </c>
      <c r="L305" s="2" t="s">
        <v>57</v>
      </c>
      <c r="M305" s="2" t="n">
        <v>2.6</v>
      </c>
    </row>
    <row r="306" customFormat="false" ht="15" hidden="false" customHeight="false" outlineLevel="0" collapsed="false">
      <c r="A306" s="2" t="s">
        <v>770</v>
      </c>
      <c r="B306" s="2" t="n">
        <v>21</v>
      </c>
      <c r="C306" s="2" t="s">
        <v>30</v>
      </c>
      <c r="D306" s="2" t="s">
        <v>23</v>
      </c>
      <c r="E306" s="2" t="s">
        <v>24</v>
      </c>
      <c r="F306" s="2" t="s">
        <v>147</v>
      </c>
      <c r="G306" s="2" t="s">
        <v>26</v>
      </c>
      <c r="H306" s="2" t="s">
        <v>282</v>
      </c>
      <c r="I306" s="2" t="s">
        <v>771</v>
      </c>
      <c r="J306" s="2" t="n">
        <v>9</v>
      </c>
      <c r="K306" s="2" t="n">
        <v>13920.89</v>
      </c>
      <c r="L306" s="2" t="s">
        <v>119</v>
      </c>
      <c r="M306" s="2"/>
    </row>
    <row r="307" customFormat="false" ht="15" hidden="false" customHeight="false" outlineLevel="0" collapsed="false">
      <c r="A307" s="2" t="s">
        <v>772</v>
      </c>
      <c r="B307" s="2" t="n">
        <v>87</v>
      </c>
      <c r="C307" s="2" t="s">
        <v>30</v>
      </c>
      <c r="D307" s="2" t="s">
        <v>64</v>
      </c>
      <c r="E307" s="2" t="s">
        <v>53</v>
      </c>
      <c r="F307" s="2" t="s">
        <v>154</v>
      </c>
      <c r="G307" s="2" t="s">
        <v>86</v>
      </c>
      <c r="H307" s="2" t="s">
        <v>773</v>
      </c>
      <c r="I307" s="2" t="s">
        <v>687</v>
      </c>
      <c r="J307" s="2" t="n">
        <v>3</v>
      </c>
      <c r="K307" s="2" t="n">
        <v>4847.09</v>
      </c>
      <c r="L307" s="2" t="s">
        <v>21</v>
      </c>
      <c r="M307" s="2" t="n">
        <v>5</v>
      </c>
    </row>
    <row r="308" customFormat="false" ht="15" hidden="false" customHeight="false" outlineLevel="0" collapsed="false">
      <c r="A308" s="2" t="s">
        <v>774</v>
      </c>
      <c r="B308" s="2" t="n">
        <v>43</v>
      </c>
      <c r="C308" s="2" t="s">
        <v>14</v>
      </c>
      <c r="D308" s="2" t="s">
        <v>15</v>
      </c>
      <c r="E308" s="2" t="s">
        <v>37</v>
      </c>
      <c r="F308" s="2" t="s">
        <v>151</v>
      </c>
      <c r="G308" s="2" t="s">
        <v>33</v>
      </c>
      <c r="H308" s="2" t="s">
        <v>687</v>
      </c>
      <c r="I308" s="2" t="s">
        <v>775</v>
      </c>
      <c r="J308" s="2" t="n">
        <v>4</v>
      </c>
      <c r="K308" s="2" t="n">
        <v>8548.26</v>
      </c>
      <c r="L308" s="2" t="s">
        <v>57</v>
      </c>
      <c r="M308" s="2" t="n">
        <v>3.7</v>
      </c>
    </row>
    <row r="309" customFormat="false" ht="15" hidden="false" customHeight="false" outlineLevel="0" collapsed="false">
      <c r="A309" s="2" t="s">
        <v>776</v>
      </c>
      <c r="B309" s="2" t="n">
        <v>32</v>
      </c>
      <c r="C309" s="2" t="s">
        <v>30</v>
      </c>
      <c r="D309" s="2" t="s">
        <v>31</v>
      </c>
      <c r="E309" s="2" t="s">
        <v>59</v>
      </c>
      <c r="F309" s="2" t="s">
        <v>85</v>
      </c>
      <c r="G309" s="2" t="s">
        <v>26</v>
      </c>
      <c r="H309" s="2" t="s">
        <v>777</v>
      </c>
      <c r="I309" s="2" t="s">
        <v>152</v>
      </c>
      <c r="J309" s="2" t="n">
        <v>4</v>
      </c>
      <c r="K309" s="2" t="n">
        <v>9427.15</v>
      </c>
      <c r="L309" s="2" t="s">
        <v>119</v>
      </c>
      <c r="M309" s="2"/>
    </row>
    <row r="310" customFormat="false" ht="15" hidden="false" customHeight="false" outlineLevel="0" collapsed="false">
      <c r="A310" s="2" t="s">
        <v>778</v>
      </c>
      <c r="B310" s="2" t="n">
        <v>73</v>
      </c>
      <c r="C310" s="2" t="s">
        <v>30</v>
      </c>
      <c r="D310" s="2" t="s">
        <v>15</v>
      </c>
      <c r="E310" s="2" t="s">
        <v>16</v>
      </c>
      <c r="F310" s="2" t="s">
        <v>47</v>
      </c>
      <c r="G310" s="2" t="s">
        <v>18</v>
      </c>
      <c r="H310" s="2" t="s">
        <v>747</v>
      </c>
      <c r="I310" s="2" t="s">
        <v>779</v>
      </c>
      <c r="J310" s="2" t="n">
        <v>3</v>
      </c>
      <c r="K310" s="2" t="n">
        <v>7925.86</v>
      </c>
      <c r="L310" s="2" t="s">
        <v>21</v>
      </c>
      <c r="M310" s="2" t="n">
        <v>3.5</v>
      </c>
    </row>
    <row r="311" customFormat="false" ht="15" hidden="false" customHeight="false" outlineLevel="0" collapsed="false">
      <c r="A311" s="2" t="s">
        <v>780</v>
      </c>
      <c r="B311" s="2" t="n">
        <v>18</v>
      </c>
      <c r="C311" s="2" t="s">
        <v>30</v>
      </c>
      <c r="D311" s="2" t="s">
        <v>23</v>
      </c>
      <c r="E311" s="2" t="s">
        <v>42</v>
      </c>
      <c r="F311" s="2" t="s">
        <v>43</v>
      </c>
      <c r="G311" s="2" t="s">
        <v>26</v>
      </c>
      <c r="H311" s="2" t="s">
        <v>769</v>
      </c>
      <c r="I311" s="2" t="s">
        <v>276</v>
      </c>
      <c r="J311" s="2" t="n">
        <v>3</v>
      </c>
      <c r="K311" s="2" t="n">
        <v>13614.3</v>
      </c>
      <c r="L311" s="2" t="s">
        <v>21</v>
      </c>
      <c r="M311" s="2" t="n">
        <v>2.8</v>
      </c>
    </row>
    <row r="312" customFormat="false" ht="15" hidden="false" customHeight="false" outlineLevel="0" collapsed="false">
      <c r="A312" s="2" t="s">
        <v>781</v>
      </c>
      <c r="B312" s="2" t="n">
        <v>90</v>
      </c>
      <c r="C312" s="2" t="s">
        <v>14</v>
      </c>
      <c r="D312" s="2" t="s">
        <v>52</v>
      </c>
      <c r="E312" s="2" t="s">
        <v>16</v>
      </c>
      <c r="F312" s="2" t="s">
        <v>47</v>
      </c>
      <c r="G312" s="2" t="s">
        <v>48</v>
      </c>
      <c r="H312" s="2" t="s">
        <v>125</v>
      </c>
      <c r="I312" s="2" t="s">
        <v>782</v>
      </c>
      <c r="J312" s="2" t="n">
        <v>5</v>
      </c>
      <c r="K312" s="2" t="n">
        <v>13280.96</v>
      </c>
      <c r="L312" s="2" t="s">
        <v>21</v>
      </c>
      <c r="M312" s="2" t="n">
        <v>3.8</v>
      </c>
    </row>
    <row r="313" customFormat="false" ht="15" hidden="false" customHeight="false" outlineLevel="0" collapsed="false">
      <c r="A313" s="2" t="s">
        <v>783</v>
      </c>
      <c r="B313" s="2" t="n">
        <v>60</v>
      </c>
      <c r="C313" s="2" t="s">
        <v>30</v>
      </c>
      <c r="D313" s="2" t="s">
        <v>31</v>
      </c>
      <c r="E313" s="2" t="s">
        <v>59</v>
      </c>
      <c r="F313" s="2" t="s">
        <v>65</v>
      </c>
      <c r="G313" s="2" t="s">
        <v>18</v>
      </c>
      <c r="H313" s="2" t="s">
        <v>784</v>
      </c>
      <c r="I313" s="2" t="s">
        <v>785</v>
      </c>
      <c r="J313" s="2" t="n">
        <v>5</v>
      </c>
      <c r="K313" s="2" t="n">
        <v>9753.86</v>
      </c>
      <c r="L313" s="2" t="s">
        <v>21</v>
      </c>
      <c r="M313" s="2" t="n">
        <v>3.8</v>
      </c>
    </row>
    <row r="314" customFormat="false" ht="15" hidden="false" customHeight="false" outlineLevel="0" collapsed="false">
      <c r="A314" s="2" t="s">
        <v>786</v>
      </c>
      <c r="B314" s="2" t="n">
        <v>18</v>
      </c>
      <c r="C314" s="2" t="s">
        <v>14</v>
      </c>
      <c r="D314" s="2" t="s">
        <v>52</v>
      </c>
      <c r="E314" s="2" t="s">
        <v>53</v>
      </c>
      <c r="F314" s="2" t="s">
        <v>253</v>
      </c>
      <c r="G314" s="2" t="s">
        <v>18</v>
      </c>
      <c r="H314" s="2" t="s">
        <v>787</v>
      </c>
      <c r="I314" s="2" t="s">
        <v>788</v>
      </c>
      <c r="J314" s="2" t="n">
        <v>1</v>
      </c>
      <c r="K314" s="2" t="n">
        <v>3627.13</v>
      </c>
      <c r="L314" s="2" t="s">
        <v>21</v>
      </c>
      <c r="M314" s="2" t="n">
        <v>4.4</v>
      </c>
    </row>
    <row r="315" customFormat="false" ht="15" hidden="false" customHeight="false" outlineLevel="0" collapsed="false">
      <c r="A315" s="2" t="s">
        <v>789</v>
      </c>
      <c r="B315" s="2" t="n">
        <v>46</v>
      </c>
      <c r="C315" s="2" t="s">
        <v>14</v>
      </c>
      <c r="D315" s="2" t="s">
        <v>52</v>
      </c>
      <c r="E315" s="2" t="s">
        <v>42</v>
      </c>
      <c r="F315" s="2" t="s">
        <v>69</v>
      </c>
      <c r="G315" s="2" t="s">
        <v>33</v>
      </c>
      <c r="H315" s="2" t="s">
        <v>790</v>
      </c>
      <c r="I315" s="2" t="s">
        <v>634</v>
      </c>
      <c r="J315" s="2" t="n">
        <v>6</v>
      </c>
      <c r="K315" s="2" t="n">
        <v>9148.87</v>
      </c>
      <c r="L315" s="2" t="s">
        <v>21</v>
      </c>
      <c r="M315" s="2" t="n">
        <v>5</v>
      </c>
    </row>
    <row r="316" customFormat="false" ht="15" hidden="false" customHeight="false" outlineLevel="0" collapsed="false">
      <c r="A316" s="2" t="s">
        <v>791</v>
      </c>
      <c r="B316" s="2" t="n">
        <v>39</v>
      </c>
      <c r="C316" s="2" t="s">
        <v>30</v>
      </c>
      <c r="D316" s="2" t="s">
        <v>64</v>
      </c>
      <c r="E316" s="2" t="s">
        <v>37</v>
      </c>
      <c r="F316" s="2" t="s">
        <v>158</v>
      </c>
      <c r="G316" s="2" t="s">
        <v>26</v>
      </c>
      <c r="H316" s="2" t="s">
        <v>307</v>
      </c>
      <c r="I316" s="2" t="s">
        <v>792</v>
      </c>
      <c r="J316" s="2" t="n">
        <v>1</v>
      </c>
      <c r="K316" s="2" t="n">
        <v>8619.48</v>
      </c>
      <c r="L316" s="2" t="s">
        <v>57</v>
      </c>
      <c r="M316" s="2" t="n">
        <v>3.5</v>
      </c>
    </row>
    <row r="317" customFormat="false" ht="15" hidden="false" customHeight="false" outlineLevel="0" collapsed="false">
      <c r="A317" s="2" t="s">
        <v>793</v>
      </c>
      <c r="B317" s="2" t="n">
        <v>39</v>
      </c>
      <c r="C317" s="2" t="s">
        <v>30</v>
      </c>
      <c r="D317" s="2" t="s">
        <v>64</v>
      </c>
      <c r="E317" s="2" t="s">
        <v>42</v>
      </c>
      <c r="F317" s="2" t="s">
        <v>69</v>
      </c>
      <c r="G317" s="2" t="s">
        <v>33</v>
      </c>
      <c r="H317" s="2" t="s">
        <v>349</v>
      </c>
      <c r="I317" s="2" t="s">
        <v>794</v>
      </c>
      <c r="J317" s="2" t="n">
        <v>2</v>
      </c>
      <c r="K317" s="2" t="n">
        <v>11021.8</v>
      </c>
      <c r="L317" s="2" t="s">
        <v>21</v>
      </c>
      <c r="M317" s="2" t="n">
        <v>3.6</v>
      </c>
    </row>
    <row r="318" customFormat="false" ht="15" hidden="false" customHeight="false" outlineLevel="0" collapsed="false">
      <c r="A318" s="2" t="s">
        <v>795</v>
      </c>
      <c r="B318" s="2" t="n">
        <v>87</v>
      </c>
      <c r="C318" s="2" t="s">
        <v>30</v>
      </c>
      <c r="D318" s="2" t="s">
        <v>15</v>
      </c>
      <c r="E318" s="2" t="s">
        <v>59</v>
      </c>
      <c r="F318" s="2" t="s">
        <v>65</v>
      </c>
      <c r="G318" s="2" t="s">
        <v>86</v>
      </c>
      <c r="H318" s="2" t="s">
        <v>664</v>
      </c>
      <c r="I318" s="2" t="s">
        <v>529</v>
      </c>
      <c r="J318" s="2" t="n">
        <v>5</v>
      </c>
      <c r="K318" s="2" t="n">
        <v>9870.69</v>
      </c>
      <c r="L318" s="2" t="s">
        <v>21</v>
      </c>
      <c r="M318" s="2" t="n">
        <v>3.6</v>
      </c>
    </row>
    <row r="319" customFormat="false" ht="15" hidden="false" customHeight="false" outlineLevel="0" collapsed="false">
      <c r="A319" s="2" t="s">
        <v>796</v>
      </c>
      <c r="B319" s="2" t="n">
        <v>29</v>
      </c>
      <c r="C319" s="2" t="s">
        <v>30</v>
      </c>
      <c r="D319" s="2" t="s">
        <v>23</v>
      </c>
      <c r="E319" s="2" t="s">
        <v>53</v>
      </c>
      <c r="F319" s="2" t="s">
        <v>76</v>
      </c>
      <c r="G319" s="2" t="s">
        <v>86</v>
      </c>
      <c r="H319" s="2" t="s">
        <v>634</v>
      </c>
      <c r="I319" s="2" t="s">
        <v>797</v>
      </c>
      <c r="J319" s="2" t="n">
        <v>1</v>
      </c>
      <c r="K319" s="2" t="n">
        <v>3843.83</v>
      </c>
      <c r="L319" s="2" t="s">
        <v>119</v>
      </c>
      <c r="M319" s="2"/>
    </row>
    <row r="320" customFormat="false" ht="15" hidden="false" customHeight="false" outlineLevel="0" collapsed="false">
      <c r="A320" s="2" t="s">
        <v>798</v>
      </c>
      <c r="B320" s="2" t="n">
        <v>78</v>
      </c>
      <c r="C320" s="2" t="s">
        <v>14</v>
      </c>
      <c r="D320" s="2" t="s">
        <v>15</v>
      </c>
      <c r="E320" s="2" t="s">
        <v>53</v>
      </c>
      <c r="F320" s="2" t="s">
        <v>253</v>
      </c>
      <c r="G320" s="2" t="s">
        <v>77</v>
      </c>
      <c r="H320" s="2" t="s">
        <v>580</v>
      </c>
      <c r="I320" s="2" t="s">
        <v>747</v>
      </c>
      <c r="J320" s="2" t="n">
        <v>5</v>
      </c>
      <c r="K320" s="2" t="n">
        <v>5113.66</v>
      </c>
      <c r="L320" s="2" t="s">
        <v>21</v>
      </c>
      <c r="M320" s="2" t="n">
        <v>4.5</v>
      </c>
    </row>
    <row r="321" customFormat="false" ht="15" hidden="false" customHeight="false" outlineLevel="0" collapsed="false">
      <c r="A321" s="2" t="s">
        <v>799</v>
      </c>
      <c r="B321" s="2" t="n">
        <v>65</v>
      </c>
      <c r="C321" s="2" t="s">
        <v>30</v>
      </c>
      <c r="D321" s="2" t="s">
        <v>15</v>
      </c>
      <c r="E321" s="2" t="s">
        <v>16</v>
      </c>
      <c r="F321" s="2" t="s">
        <v>32</v>
      </c>
      <c r="G321" s="2" t="s">
        <v>86</v>
      </c>
      <c r="H321" s="2" t="s">
        <v>800</v>
      </c>
      <c r="I321" s="2" t="s">
        <v>801</v>
      </c>
      <c r="J321" s="2" t="n">
        <v>2</v>
      </c>
      <c r="K321" s="2" t="n">
        <v>8416.21</v>
      </c>
      <c r="L321" s="2" t="s">
        <v>57</v>
      </c>
      <c r="M321" s="2" t="n">
        <v>3.3</v>
      </c>
    </row>
    <row r="322" customFormat="false" ht="15" hidden="false" customHeight="false" outlineLevel="0" collapsed="false">
      <c r="A322" s="2" t="s">
        <v>802</v>
      </c>
      <c r="B322" s="2" t="n">
        <v>30</v>
      </c>
      <c r="C322" s="2" t="s">
        <v>14</v>
      </c>
      <c r="D322" s="2" t="s">
        <v>15</v>
      </c>
      <c r="E322" s="2" t="s">
        <v>24</v>
      </c>
      <c r="F322" s="2" t="s">
        <v>94</v>
      </c>
      <c r="G322" s="2" t="s">
        <v>26</v>
      </c>
      <c r="H322" s="2" t="s">
        <v>215</v>
      </c>
      <c r="I322" s="2" t="s">
        <v>803</v>
      </c>
      <c r="J322" s="2" t="n">
        <v>6</v>
      </c>
      <c r="K322" s="2" t="n">
        <v>11971.9</v>
      </c>
      <c r="L322" s="2" t="s">
        <v>57</v>
      </c>
      <c r="M322" s="2" t="n">
        <v>3.1</v>
      </c>
    </row>
    <row r="323" customFormat="false" ht="15" hidden="false" customHeight="false" outlineLevel="0" collapsed="false">
      <c r="A323" s="2" t="s">
        <v>804</v>
      </c>
      <c r="B323" s="2" t="n">
        <v>71</v>
      </c>
      <c r="C323" s="2" t="s">
        <v>30</v>
      </c>
      <c r="D323" s="2" t="s">
        <v>23</v>
      </c>
      <c r="E323" s="2" t="s">
        <v>16</v>
      </c>
      <c r="F323" s="2" t="s">
        <v>32</v>
      </c>
      <c r="G323" s="2" t="s">
        <v>33</v>
      </c>
      <c r="H323" s="2" t="s">
        <v>541</v>
      </c>
      <c r="I323" s="2" t="s">
        <v>44</v>
      </c>
      <c r="J323" s="2" t="n">
        <v>1</v>
      </c>
      <c r="K323" s="2" t="n">
        <v>9333.93</v>
      </c>
      <c r="L323" s="2" t="s">
        <v>21</v>
      </c>
      <c r="M323" s="2" t="n">
        <v>3</v>
      </c>
    </row>
    <row r="324" customFormat="false" ht="15" hidden="false" customHeight="false" outlineLevel="0" collapsed="false">
      <c r="A324" s="2" t="s">
        <v>805</v>
      </c>
      <c r="B324" s="2" t="n">
        <v>36</v>
      </c>
      <c r="C324" s="2" t="s">
        <v>14</v>
      </c>
      <c r="D324" s="2" t="s">
        <v>52</v>
      </c>
      <c r="E324" s="2" t="s">
        <v>16</v>
      </c>
      <c r="F324" s="2" t="s">
        <v>17</v>
      </c>
      <c r="G324" s="2" t="s">
        <v>18</v>
      </c>
      <c r="H324" s="2" t="s">
        <v>806</v>
      </c>
      <c r="I324" s="2" t="s">
        <v>677</v>
      </c>
      <c r="J324" s="2" t="n">
        <v>2</v>
      </c>
      <c r="K324" s="2" t="n">
        <v>9060.49</v>
      </c>
      <c r="L324" s="2" t="s">
        <v>119</v>
      </c>
      <c r="M324" s="2"/>
    </row>
    <row r="325" customFormat="false" ht="15" hidden="false" customHeight="false" outlineLevel="0" collapsed="false">
      <c r="A325" s="2" t="s">
        <v>807</v>
      </c>
      <c r="B325" s="2" t="n">
        <v>73</v>
      </c>
      <c r="C325" s="2" t="s">
        <v>14</v>
      </c>
      <c r="D325" s="2" t="s">
        <v>64</v>
      </c>
      <c r="E325" s="2" t="s">
        <v>24</v>
      </c>
      <c r="F325" s="2" t="s">
        <v>372</v>
      </c>
      <c r="G325" s="2" t="s">
        <v>33</v>
      </c>
      <c r="H325" s="2" t="s">
        <v>808</v>
      </c>
      <c r="I325" s="2" t="s">
        <v>626</v>
      </c>
      <c r="J325" s="2" t="n">
        <v>10</v>
      </c>
      <c r="K325" s="2" t="n">
        <v>22267.15</v>
      </c>
      <c r="L325" s="2" t="s">
        <v>21</v>
      </c>
      <c r="M325" s="2" t="n">
        <v>3.8</v>
      </c>
    </row>
    <row r="326" customFormat="false" ht="15" hidden="false" customHeight="false" outlineLevel="0" collapsed="false">
      <c r="A326" s="2" t="s">
        <v>809</v>
      </c>
      <c r="B326" s="2" t="n">
        <v>53</v>
      </c>
      <c r="C326" s="2" t="s">
        <v>30</v>
      </c>
      <c r="D326" s="2" t="s">
        <v>31</v>
      </c>
      <c r="E326" s="2" t="s">
        <v>37</v>
      </c>
      <c r="F326" s="2" t="s">
        <v>38</v>
      </c>
      <c r="G326" s="2" t="s">
        <v>86</v>
      </c>
      <c r="H326" s="2" t="s">
        <v>788</v>
      </c>
      <c r="I326" s="2" t="s">
        <v>810</v>
      </c>
      <c r="J326" s="2" t="n">
        <v>6</v>
      </c>
      <c r="K326" s="2" t="n">
        <v>9048.89</v>
      </c>
      <c r="L326" s="2" t="s">
        <v>21</v>
      </c>
      <c r="M326" s="2" t="n">
        <v>3.8</v>
      </c>
    </row>
    <row r="327" customFormat="false" ht="15" hidden="false" customHeight="false" outlineLevel="0" collapsed="false">
      <c r="A327" s="2" t="s">
        <v>811</v>
      </c>
      <c r="B327" s="2" t="n">
        <v>31</v>
      </c>
      <c r="C327" s="2" t="s">
        <v>14</v>
      </c>
      <c r="D327" s="2" t="s">
        <v>15</v>
      </c>
      <c r="E327" s="2" t="s">
        <v>24</v>
      </c>
      <c r="F327" s="2" t="s">
        <v>372</v>
      </c>
      <c r="G327" s="2" t="s">
        <v>77</v>
      </c>
      <c r="H327" s="2" t="s">
        <v>812</v>
      </c>
      <c r="I327" s="2" t="s">
        <v>813</v>
      </c>
      <c r="J327" s="2" t="n">
        <v>7</v>
      </c>
      <c r="K327" s="2" t="n">
        <v>15233.64</v>
      </c>
      <c r="L327" s="2" t="s">
        <v>21</v>
      </c>
      <c r="M327" s="2" t="n">
        <v>4</v>
      </c>
    </row>
    <row r="328" customFormat="false" ht="15" hidden="false" customHeight="false" outlineLevel="0" collapsed="false">
      <c r="A328" s="2" t="s">
        <v>814</v>
      </c>
      <c r="B328" s="2" t="n">
        <v>22</v>
      </c>
      <c r="C328" s="2" t="s">
        <v>14</v>
      </c>
      <c r="D328" s="2" t="s">
        <v>15</v>
      </c>
      <c r="E328" s="2" t="s">
        <v>53</v>
      </c>
      <c r="F328" s="2" t="s">
        <v>76</v>
      </c>
      <c r="G328" s="2" t="s">
        <v>26</v>
      </c>
      <c r="H328" s="2" t="s">
        <v>815</v>
      </c>
      <c r="I328" s="2" t="s">
        <v>816</v>
      </c>
      <c r="J328" s="2" t="n">
        <v>1</v>
      </c>
      <c r="K328" s="2" t="n">
        <v>3011.63</v>
      </c>
      <c r="L328" s="2" t="s">
        <v>21</v>
      </c>
      <c r="M328" s="2" t="n">
        <v>4.5</v>
      </c>
    </row>
    <row r="329" customFormat="false" ht="15" hidden="false" customHeight="false" outlineLevel="0" collapsed="false">
      <c r="A329" s="2" t="s">
        <v>817</v>
      </c>
      <c r="B329" s="2" t="n">
        <v>24</v>
      </c>
      <c r="C329" s="2" t="s">
        <v>30</v>
      </c>
      <c r="D329" s="2" t="s">
        <v>15</v>
      </c>
      <c r="E329" s="2" t="s">
        <v>59</v>
      </c>
      <c r="F329" s="2" t="s">
        <v>60</v>
      </c>
      <c r="G329" s="2" t="s">
        <v>33</v>
      </c>
      <c r="H329" s="2" t="s">
        <v>818</v>
      </c>
      <c r="I329" s="2" t="s">
        <v>819</v>
      </c>
      <c r="J329" s="2" t="n">
        <v>3</v>
      </c>
      <c r="K329" s="2" t="n">
        <v>7022.35</v>
      </c>
      <c r="L329" s="2" t="s">
        <v>57</v>
      </c>
      <c r="M329" s="2" t="n">
        <v>4.9</v>
      </c>
    </row>
    <row r="330" customFormat="false" ht="15" hidden="false" customHeight="false" outlineLevel="0" collapsed="false">
      <c r="A330" s="2" t="s">
        <v>820</v>
      </c>
      <c r="B330" s="2" t="n">
        <v>30</v>
      </c>
      <c r="C330" s="2" t="s">
        <v>14</v>
      </c>
      <c r="D330" s="2" t="s">
        <v>64</v>
      </c>
      <c r="E330" s="2" t="s">
        <v>59</v>
      </c>
      <c r="F330" s="2" t="s">
        <v>85</v>
      </c>
      <c r="G330" s="2" t="s">
        <v>33</v>
      </c>
      <c r="H330" s="2" t="s">
        <v>165</v>
      </c>
      <c r="I330" s="2" t="s">
        <v>595</v>
      </c>
      <c r="J330" s="2" t="n">
        <v>5</v>
      </c>
      <c r="K330" s="2" t="n">
        <v>6962.81</v>
      </c>
      <c r="L330" s="2" t="s">
        <v>21</v>
      </c>
      <c r="M330" s="2" t="n">
        <v>2.1</v>
      </c>
    </row>
    <row r="331" customFormat="false" ht="15" hidden="false" customHeight="false" outlineLevel="0" collapsed="false">
      <c r="A331" s="2" t="s">
        <v>821</v>
      </c>
      <c r="B331" s="2" t="n">
        <v>70</v>
      </c>
      <c r="C331" s="2" t="s">
        <v>30</v>
      </c>
      <c r="D331" s="2" t="s">
        <v>23</v>
      </c>
      <c r="E331" s="2" t="s">
        <v>59</v>
      </c>
      <c r="F331" s="2" t="s">
        <v>60</v>
      </c>
      <c r="G331" s="2" t="s">
        <v>26</v>
      </c>
      <c r="H331" s="2" t="s">
        <v>822</v>
      </c>
      <c r="I331" s="2" t="s">
        <v>674</v>
      </c>
      <c r="J331" s="2" t="n">
        <v>8</v>
      </c>
      <c r="K331" s="2" t="n">
        <v>11959.41</v>
      </c>
      <c r="L331" s="2" t="s">
        <v>21</v>
      </c>
      <c r="M331" s="2" t="n">
        <v>3.8</v>
      </c>
    </row>
    <row r="332" customFormat="false" ht="15" hidden="false" customHeight="false" outlineLevel="0" collapsed="false">
      <c r="A332" s="2" t="s">
        <v>823</v>
      </c>
      <c r="B332" s="2" t="n">
        <v>85</v>
      </c>
      <c r="C332" s="2" t="s">
        <v>14</v>
      </c>
      <c r="D332" s="2" t="s">
        <v>64</v>
      </c>
      <c r="E332" s="2" t="s">
        <v>16</v>
      </c>
      <c r="F332" s="2" t="s">
        <v>17</v>
      </c>
      <c r="G332" s="2" t="s">
        <v>86</v>
      </c>
      <c r="H332" s="2" t="s">
        <v>824</v>
      </c>
      <c r="I332" s="2" t="s">
        <v>825</v>
      </c>
      <c r="J332" s="2" t="n">
        <v>5</v>
      </c>
      <c r="K332" s="2" t="n">
        <v>9295.69</v>
      </c>
      <c r="L332" s="2" t="s">
        <v>21</v>
      </c>
      <c r="M332" s="2" t="n">
        <v>3.8</v>
      </c>
    </row>
    <row r="333" customFormat="false" ht="15" hidden="false" customHeight="false" outlineLevel="0" collapsed="false">
      <c r="A333" s="2" t="s">
        <v>826</v>
      </c>
      <c r="B333" s="2" t="n">
        <v>77</v>
      </c>
      <c r="C333" s="2" t="s">
        <v>30</v>
      </c>
      <c r="D333" s="2" t="s">
        <v>31</v>
      </c>
      <c r="E333" s="2" t="s">
        <v>37</v>
      </c>
      <c r="F333" s="2" t="s">
        <v>158</v>
      </c>
      <c r="G333" s="2" t="s">
        <v>18</v>
      </c>
      <c r="H333" s="2" t="s">
        <v>827</v>
      </c>
      <c r="I333" s="2" t="s">
        <v>828</v>
      </c>
      <c r="J333" s="2" t="n">
        <v>7</v>
      </c>
      <c r="K333" s="2" t="n">
        <v>7107.27</v>
      </c>
      <c r="L333" s="2" t="s">
        <v>119</v>
      </c>
      <c r="M333" s="2"/>
    </row>
    <row r="334" customFormat="false" ht="15" hidden="false" customHeight="false" outlineLevel="0" collapsed="false">
      <c r="A334" s="2" t="s">
        <v>829</v>
      </c>
      <c r="B334" s="2" t="n">
        <v>78</v>
      </c>
      <c r="C334" s="2" t="s">
        <v>30</v>
      </c>
      <c r="D334" s="2" t="s">
        <v>15</v>
      </c>
      <c r="E334" s="2" t="s">
        <v>16</v>
      </c>
      <c r="F334" s="2" t="s">
        <v>47</v>
      </c>
      <c r="G334" s="2" t="s">
        <v>48</v>
      </c>
      <c r="H334" s="2" t="s">
        <v>56</v>
      </c>
      <c r="I334" s="2" t="s">
        <v>784</v>
      </c>
      <c r="J334" s="2" t="n">
        <v>4</v>
      </c>
      <c r="K334" s="2" t="n">
        <v>9086.42</v>
      </c>
      <c r="L334" s="2" t="s">
        <v>21</v>
      </c>
      <c r="M334" s="2" t="n">
        <v>3.7</v>
      </c>
    </row>
    <row r="335" customFormat="false" ht="15" hidden="false" customHeight="false" outlineLevel="0" collapsed="false">
      <c r="A335" s="2" t="s">
        <v>830</v>
      </c>
      <c r="B335" s="2" t="n">
        <v>45</v>
      </c>
      <c r="C335" s="2" t="s">
        <v>14</v>
      </c>
      <c r="D335" s="2" t="s">
        <v>64</v>
      </c>
      <c r="E335" s="2" t="s">
        <v>37</v>
      </c>
      <c r="F335" s="2" t="s">
        <v>151</v>
      </c>
      <c r="G335" s="2" t="s">
        <v>33</v>
      </c>
      <c r="H335" s="2" t="s">
        <v>831</v>
      </c>
      <c r="I335" s="2" t="s">
        <v>184</v>
      </c>
      <c r="J335" s="2" t="n">
        <v>4</v>
      </c>
      <c r="K335" s="2" t="n">
        <v>7219.21</v>
      </c>
      <c r="L335" s="2" t="s">
        <v>97</v>
      </c>
      <c r="M335" s="2" t="n">
        <v>3.6</v>
      </c>
    </row>
    <row r="336" customFormat="false" ht="15" hidden="false" customHeight="false" outlineLevel="0" collapsed="false">
      <c r="A336" s="2" t="s">
        <v>832</v>
      </c>
      <c r="B336" s="2" t="n">
        <v>34</v>
      </c>
      <c r="C336" s="2" t="s">
        <v>14</v>
      </c>
      <c r="D336" s="2" t="s">
        <v>23</v>
      </c>
      <c r="E336" s="2" t="s">
        <v>42</v>
      </c>
      <c r="F336" s="2" t="s">
        <v>43</v>
      </c>
      <c r="G336" s="2" t="s">
        <v>33</v>
      </c>
      <c r="H336" s="2" t="s">
        <v>833</v>
      </c>
      <c r="I336" s="2" t="s">
        <v>834</v>
      </c>
      <c r="J336" s="2" t="n">
        <v>4</v>
      </c>
      <c r="K336" s="2" t="n">
        <v>10592.41</v>
      </c>
      <c r="L336" s="2" t="s">
        <v>119</v>
      </c>
      <c r="M336" s="2"/>
    </row>
    <row r="337" customFormat="false" ht="15" hidden="false" customHeight="false" outlineLevel="0" collapsed="false">
      <c r="A337" s="2" t="s">
        <v>835</v>
      </c>
      <c r="B337" s="2" t="n">
        <v>53</v>
      </c>
      <c r="C337" s="2" t="s">
        <v>30</v>
      </c>
      <c r="D337" s="2" t="s">
        <v>52</v>
      </c>
      <c r="E337" s="2" t="s">
        <v>59</v>
      </c>
      <c r="F337" s="2" t="s">
        <v>85</v>
      </c>
      <c r="G337" s="2" t="s">
        <v>33</v>
      </c>
      <c r="H337" s="2" t="s">
        <v>836</v>
      </c>
      <c r="I337" s="2" t="s">
        <v>655</v>
      </c>
      <c r="J337" s="2" t="n">
        <v>4</v>
      </c>
      <c r="K337" s="2" t="n">
        <v>6399.44</v>
      </c>
      <c r="L337" s="2" t="s">
        <v>57</v>
      </c>
      <c r="M337" s="2" t="n">
        <v>3.8</v>
      </c>
    </row>
    <row r="338" customFormat="false" ht="15" hidden="false" customHeight="false" outlineLevel="0" collapsed="false">
      <c r="A338" s="2" t="s">
        <v>837</v>
      </c>
      <c r="B338" s="2" t="n">
        <v>68</v>
      </c>
      <c r="C338" s="2" t="s">
        <v>14</v>
      </c>
      <c r="D338" s="2" t="s">
        <v>31</v>
      </c>
      <c r="E338" s="2" t="s">
        <v>24</v>
      </c>
      <c r="F338" s="2" t="s">
        <v>372</v>
      </c>
      <c r="G338" s="2" t="s">
        <v>26</v>
      </c>
      <c r="H338" s="2" t="s">
        <v>463</v>
      </c>
      <c r="I338" s="2" t="s">
        <v>135</v>
      </c>
      <c r="J338" s="2" t="n">
        <v>7</v>
      </c>
      <c r="K338" s="2" t="n">
        <v>16441.1</v>
      </c>
      <c r="L338" s="2" t="s">
        <v>97</v>
      </c>
      <c r="M338" s="2" t="n">
        <v>2.8</v>
      </c>
    </row>
    <row r="339" customFormat="false" ht="15" hidden="false" customHeight="false" outlineLevel="0" collapsed="false">
      <c r="A339" s="2" t="s">
        <v>838</v>
      </c>
      <c r="B339" s="2" t="n">
        <v>53</v>
      </c>
      <c r="C339" s="2" t="s">
        <v>30</v>
      </c>
      <c r="D339" s="2" t="s">
        <v>15</v>
      </c>
      <c r="E339" s="2" t="s">
        <v>59</v>
      </c>
      <c r="F339" s="2" t="s">
        <v>202</v>
      </c>
      <c r="G339" s="2" t="s">
        <v>18</v>
      </c>
      <c r="H339" s="2" t="s">
        <v>332</v>
      </c>
      <c r="I339" s="2" t="s">
        <v>386</v>
      </c>
      <c r="J339" s="2" t="n">
        <v>6</v>
      </c>
      <c r="K339" s="2" t="n">
        <v>8197.65</v>
      </c>
      <c r="L339" s="2" t="s">
        <v>21</v>
      </c>
      <c r="M339" s="2" t="n">
        <v>3.4</v>
      </c>
    </row>
    <row r="340" customFormat="false" ht="15" hidden="false" customHeight="false" outlineLevel="0" collapsed="false">
      <c r="A340" s="2" t="s">
        <v>839</v>
      </c>
      <c r="B340" s="2" t="n">
        <v>69</v>
      </c>
      <c r="C340" s="2" t="s">
        <v>30</v>
      </c>
      <c r="D340" s="2" t="s">
        <v>64</v>
      </c>
      <c r="E340" s="2" t="s">
        <v>37</v>
      </c>
      <c r="F340" s="2" t="s">
        <v>158</v>
      </c>
      <c r="G340" s="2" t="s">
        <v>48</v>
      </c>
      <c r="H340" s="2" t="s">
        <v>840</v>
      </c>
      <c r="I340" s="2" t="s">
        <v>841</v>
      </c>
      <c r="J340" s="2" t="n">
        <v>7</v>
      </c>
      <c r="K340" s="2" t="n">
        <v>8286.44</v>
      </c>
      <c r="L340" s="2" t="s">
        <v>21</v>
      </c>
      <c r="M340" s="2" t="n">
        <v>3.3</v>
      </c>
    </row>
    <row r="341" customFormat="false" ht="15" hidden="false" customHeight="false" outlineLevel="0" collapsed="false">
      <c r="A341" s="2" t="s">
        <v>842</v>
      </c>
      <c r="B341" s="2" t="n">
        <v>42</v>
      </c>
      <c r="C341" s="2" t="s">
        <v>30</v>
      </c>
      <c r="D341" s="2" t="s">
        <v>64</v>
      </c>
      <c r="E341" s="2" t="s">
        <v>37</v>
      </c>
      <c r="F341" s="2" t="s">
        <v>38</v>
      </c>
      <c r="G341" s="2" t="s">
        <v>48</v>
      </c>
      <c r="H341" s="2" t="s">
        <v>309</v>
      </c>
      <c r="I341" s="2" t="s">
        <v>843</v>
      </c>
      <c r="J341" s="2" t="n">
        <v>5</v>
      </c>
      <c r="K341" s="2" t="n">
        <v>5376.63</v>
      </c>
      <c r="L341" s="2" t="s">
        <v>57</v>
      </c>
      <c r="M341" s="2" t="n">
        <v>3.5</v>
      </c>
    </row>
    <row r="342" customFormat="false" ht="15" hidden="false" customHeight="false" outlineLevel="0" collapsed="false">
      <c r="A342" s="2" t="s">
        <v>844</v>
      </c>
      <c r="B342" s="2" t="n">
        <v>89</v>
      </c>
      <c r="C342" s="2" t="s">
        <v>14</v>
      </c>
      <c r="D342" s="2" t="s">
        <v>15</v>
      </c>
      <c r="E342" s="2" t="s">
        <v>42</v>
      </c>
      <c r="F342" s="2" t="s">
        <v>108</v>
      </c>
      <c r="G342" s="2" t="s">
        <v>18</v>
      </c>
      <c r="H342" s="2" t="s">
        <v>845</v>
      </c>
      <c r="I342" s="2" t="s">
        <v>800</v>
      </c>
      <c r="J342" s="2" t="n">
        <v>5</v>
      </c>
      <c r="K342" s="2" t="n">
        <v>8350.94</v>
      </c>
      <c r="L342" s="2" t="s">
        <v>57</v>
      </c>
      <c r="M342" s="2" t="n">
        <v>5</v>
      </c>
    </row>
    <row r="343" customFormat="false" ht="15" hidden="false" customHeight="false" outlineLevel="0" collapsed="false">
      <c r="A343" s="2" t="s">
        <v>846</v>
      </c>
      <c r="B343" s="2" t="n">
        <v>29</v>
      </c>
      <c r="C343" s="2" t="s">
        <v>14</v>
      </c>
      <c r="D343" s="2" t="s">
        <v>15</v>
      </c>
      <c r="E343" s="2" t="s">
        <v>16</v>
      </c>
      <c r="F343" s="2" t="s">
        <v>47</v>
      </c>
      <c r="G343" s="2" t="s">
        <v>77</v>
      </c>
      <c r="H343" s="2" t="s">
        <v>171</v>
      </c>
      <c r="I343" s="2" t="s">
        <v>155</v>
      </c>
      <c r="J343" s="2" t="n">
        <v>1</v>
      </c>
      <c r="K343" s="2" t="n">
        <v>6276.97</v>
      </c>
      <c r="L343" s="2" t="s">
        <v>21</v>
      </c>
      <c r="M343" s="2" t="n">
        <v>4.4</v>
      </c>
    </row>
    <row r="344" customFormat="false" ht="15" hidden="false" customHeight="false" outlineLevel="0" collapsed="false">
      <c r="A344" s="2" t="s">
        <v>847</v>
      </c>
      <c r="B344" s="2" t="n">
        <v>33</v>
      </c>
      <c r="C344" s="2" t="s">
        <v>30</v>
      </c>
      <c r="D344" s="2" t="s">
        <v>31</v>
      </c>
      <c r="E344" s="2" t="s">
        <v>37</v>
      </c>
      <c r="F344" s="2" t="s">
        <v>158</v>
      </c>
      <c r="G344" s="2" t="s">
        <v>77</v>
      </c>
      <c r="H344" s="2" t="s">
        <v>677</v>
      </c>
      <c r="I344" s="2" t="s">
        <v>848</v>
      </c>
      <c r="J344" s="2" t="n">
        <v>1</v>
      </c>
      <c r="K344" s="2" t="n">
        <v>5893.37</v>
      </c>
      <c r="L344" s="2" t="s">
        <v>21</v>
      </c>
      <c r="M344" s="2" t="n">
        <v>3.7</v>
      </c>
    </row>
    <row r="345" customFormat="false" ht="15" hidden="false" customHeight="false" outlineLevel="0" collapsed="false">
      <c r="A345" s="2" t="s">
        <v>849</v>
      </c>
      <c r="B345" s="2" t="n">
        <v>37</v>
      </c>
      <c r="C345" s="2" t="s">
        <v>14</v>
      </c>
      <c r="D345" s="2" t="s">
        <v>64</v>
      </c>
      <c r="E345" s="2" t="s">
        <v>59</v>
      </c>
      <c r="F345" s="2" t="s">
        <v>85</v>
      </c>
      <c r="G345" s="2" t="s">
        <v>26</v>
      </c>
      <c r="H345" s="2" t="s">
        <v>460</v>
      </c>
      <c r="I345" s="2" t="s">
        <v>461</v>
      </c>
      <c r="J345" s="2" t="n">
        <v>6</v>
      </c>
      <c r="K345" s="2" t="n">
        <v>10883.93</v>
      </c>
      <c r="L345" s="2" t="s">
        <v>21</v>
      </c>
      <c r="M345" s="2" t="n">
        <v>4.6</v>
      </c>
    </row>
    <row r="346" customFormat="false" ht="15" hidden="false" customHeight="false" outlineLevel="0" collapsed="false">
      <c r="A346" s="2" t="s">
        <v>850</v>
      </c>
      <c r="B346" s="2" t="n">
        <v>28</v>
      </c>
      <c r="C346" s="2" t="s">
        <v>30</v>
      </c>
      <c r="D346" s="2" t="s">
        <v>15</v>
      </c>
      <c r="E346" s="2" t="s">
        <v>37</v>
      </c>
      <c r="F346" s="2" t="s">
        <v>151</v>
      </c>
      <c r="G346" s="2" t="s">
        <v>33</v>
      </c>
      <c r="H346" s="2" t="s">
        <v>851</v>
      </c>
      <c r="I346" s="2" t="s">
        <v>852</v>
      </c>
      <c r="J346" s="2" t="n">
        <v>6</v>
      </c>
      <c r="K346" s="2" t="n">
        <v>8330.13</v>
      </c>
      <c r="L346" s="2" t="s">
        <v>21</v>
      </c>
      <c r="M346" s="2" t="n">
        <v>3.6</v>
      </c>
    </row>
    <row r="347" customFormat="false" ht="15" hidden="false" customHeight="false" outlineLevel="0" collapsed="false">
      <c r="A347" s="2" t="s">
        <v>853</v>
      </c>
      <c r="B347" s="2" t="n">
        <v>38</v>
      </c>
      <c r="C347" s="2" t="s">
        <v>30</v>
      </c>
      <c r="D347" s="2" t="s">
        <v>31</v>
      </c>
      <c r="E347" s="2" t="s">
        <v>16</v>
      </c>
      <c r="F347" s="2" t="s">
        <v>32</v>
      </c>
      <c r="G347" s="2" t="s">
        <v>48</v>
      </c>
      <c r="H347" s="2" t="s">
        <v>697</v>
      </c>
      <c r="I347" s="2" t="s">
        <v>142</v>
      </c>
      <c r="J347" s="2" t="n">
        <v>1</v>
      </c>
      <c r="K347" s="2" t="n">
        <v>4533.09</v>
      </c>
      <c r="L347" s="2" t="s">
        <v>21</v>
      </c>
      <c r="M347" s="2" t="n">
        <v>4.8</v>
      </c>
    </row>
    <row r="348" customFormat="false" ht="15" hidden="false" customHeight="false" outlineLevel="0" collapsed="false">
      <c r="A348" s="2" t="s">
        <v>854</v>
      </c>
      <c r="B348" s="2" t="n">
        <v>22</v>
      </c>
      <c r="C348" s="2" t="s">
        <v>14</v>
      </c>
      <c r="D348" s="2" t="s">
        <v>15</v>
      </c>
      <c r="E348" s="2" t="s">
        <v>42</v>
      </c>
      <c r="F348" s="2" t="s">
        <v>81</v>
      </c>
      <c r="G348" s="2" t="s">
        <v>26</v>
      </c>
      <c r="H348" s="2" t="s">
        <v>855</v>
      </c>
      <c r="I348" s="2" t="s">
        <v>677</v>
      </c>
      <c r="J348" s="2" t="n">
        <v>4</v>
      </c>
      <c r="K348" s="2" t="n">
        <v>10117.36</v>
      </c>
      <c r="L348" s="2" t="s">
        <v>97</v>
      </c>
      <c r="M348" s="2" t="n">
        <v>3.8</v>
      </c>
    </row>
    <row r="349" customFormat="false" ht="15" hidden="false" customHeight="false" outlineLevel="0" collapsed="false">
      <c r="A349" s="2" t="s">
        <v>856</v>
      </c>
      <c r="B349" s="2" t="n">
        <v>57</v>
      </c>
      <c r="C349" s="2" t="s">
        <v>14</v>
      </c>
      <c r="D349" s="2" t="s">
        <v>31</v>
      </c>
      <c r="E349" s="2" t="s">
        <v>53</v>
      </c>
      <c r="F349" s="2" t="s">
        <v>54</v>
      </c>
      <c r="G349" s="2" t="s">
        <v>18</v>
      </c>
      <c r="H349" s="2" t="s">
        <v>609</v>
      </c>
      <c r="I349" s="2" t="s">
        <v>102</v>
      </c>
      <c r="J349" s="2" t="n">
        <v>6</v>
      </c>
      <c r="K349" s="2" t="n">
        <v>5841.03</v>
      </c>
      <c r="L349" s="2" t="s">
        <v>21</v>
      </c>
      <c r="M349" s="2" t="n">
        <v>3</v>
      </c>
    </row>
    <row r="350" customFormat="false" ht="15" hidden="false" customHeight="false" outlineLevel="0" collapsed="false">
      <c r="A350" s="2" t="s">
        <v>857</v>
      </c>
      <c r="B350" s="2" t="n">
        <v>84</v>
      </c>
      <c r="C350" s="2" t="s">
        <v>30</v>
      </c>
      <c r="D350" s="2" t="s">
        <v>52</v>
      </c>
      <c r="E350" s="2" t="s">
        <v>37</v>
      </c>
      <c r="F350" s="2" t="s">
        <v>151</v>
      </c>
      <c r="G350" s="2" t="s">
        <v>33</v>
      </c>
      <c r="H350" s="2" t="s">
        <v>858</v>
      </c>
      <c r="I350" s="2" t="s">
        <v>859</v>
      </c>
      <c r="J350" s="2" t="n">
        <v>5</v>
      </c>
      <c r="K350" s="2" t="n">
        <v>8049.81</v>
      </c>
      <c r="L350" s="2" t="s">
        <v>119</v>
      </c>
      <c r="M350" s="2"/>
    </row>
    <row r="351" customFormat="false" ht="15" hidden="false" customHeight="false" outlineLevel="0" collapsed="false">
      <c r="A351" s="2" t="s">
        <v>860</v>
      </c>
      <c r="B351" s="2" t="n">
        <v>69</v>
      </c>
      <c r="C351" s="2" t="s">
        <v>14</v>
      </c>
      <c r="D351" s="2" t="s">
        <v>64</v>
      </c>
      <c r="E351" s="2" t="s">
        <v>16</v>
      </c>
      <c r="F351" s="2" t="s">
        <v>17</v>
      </c>
      <c r="G351" s="2" t="s">
        <v>18</v>
      </c>
      <c r="H351" s="2" t="s">
        <v>861</v>
      </c>
      <c r="I351" s="2" t="s">
        <v>862</v>
      </c>
      <c r="J351" s="2" t="n">
        <v>3</v>
      </c>
      <c r="K351" s="2" t="n">
        <v>7931.95</v>
      </c>
      <c r="L351" s="2" t="s">
        <v>21</v>
      </c>
      <c r="M351" s="2" t="n">
        <v>3.5</v>
      </c>
    </row>
    <row r="352" customFormat="false" ht="15" hidden="false" customHeight="false" outlineLevel="0" collapsed="false">
      <c r="A352" s="2" t="s">
        <v>863</v>
      </c>
      <c r="B352" s="2" t="n">
        <v>50</v>
      </c>
      <c r="C352" s="2" t="s">
        <v>14</v>
      </c>
      <c r="D352" s="2" t="s">
        <v>23</v>
      </c>
      <c r="E352" s="2" t="s">
        <v>42</v>
      </c>
      <c r="F352" s="2" t="s">
        <v>69</v>
      </c>
      <c r="G352" s="2" t="s">
        <v>48</v>
      </c>
      <c r="H352" s="2" t="s">
        <v>790</v>
      </c>
      <c r="I352" s="2" t="s">
        <v>864</v>
      </c>
      <c r="J352" s="2" t="n">
        <v>4</v>
      </c>
      <c r="K352" s="2" t="n">
        <v>10904.94</v>
      </c>
      <c r="L352" s="2" t="s">
        <v>21</v>
      </c>
      <c r="M352" s="2" t="n">
        <v>3.7</v>
      </c>
    </row>
    <row r="353" customFormat="false" ht="15" hidden="false" customHeight="false" outlineLevel="0" collapsed="false">
      <c r="A353" s="2" t="s">
        <v>865</v>
      </c>
      <c r="B353" s="2" t="n">
        <v>33</v>
      </c>
      <c r="C353" s="2" t="s">
        <v>30</v>
      </c>
      <c r="D353" s="2" t="s">
        <v>52</v>
      </c>
      <c r="E353" s="2" t="s">
        <v>37</v>
      </c>
      <c r="F353" s="2" t="s">
        <v>151</v>
      </c>
      <c r="G353" s="2" t="s">
        <v>18</v>
      </c>
      <c r="H353" s="2" t="s">
        <v>866</v>
      </c>
      <c r="I353" s="2" t="s">
        <v>867</v>
      </c>
      <c r="J353" s="2" t="n">
        <v>4</v>
      </c>
      <c r="K353" s="2" t="n">
        <v>6961.69</v>
      </c>
      <c r="L353" s="2" t="s">
        <v>21</v>
      </c>
      <c r="M353" s="2" t="n">
        <v>4.3</v>
      </c>
    </row>
    <row r="354" customFormat="false" ht="15" hidden="false" customHeight="false" outlineLevel="0" collapsed="false">
      <c r="A354" s="2" t="s">
        <v>868</v>
      </c>
      <c r="B354" s="2" t="n">
        <v>35</v>
      </c>
      <c r="C354" s="2" t="s">
        <v>30</v>
      </c>
      <c r="D354" s="2" t="s">
        <v>31</v>
      </c>
      <c r="E354" s="2" t="s">
        <v>24</v>
      </c>
      <c r="F354" s="2" t="s">
        <v>25</v>
      </c>
      <c r="G354" s="2" t="s">
        <v>33</v>
      </c>
      <c r="H354" s="2" t="s">
        <v>389</v>
      </c>
      <c r="I354" s="2" t="s">
        <v>539</v>
      </c>
      <c r="J354" s="2" t="n">
        <v>8</v>
      </c>
      <c r="K354" s="2" t="n">
        <v>18962.84</v>
      </c>
      <c r="L354" s="2" t="s">
        <v>21</v>
      </c>
      <c r="M354" s="2" t="n">
        <v>2.6</v>
      </c>
    </row>
    <row r="355" customFormat="false" ht="15" hidden="false" customHeight="false" outlineLevel="0" collapsed="false">
      <c r="A355" s="2" t="s">
        <v>869</v>
      </c>
      <c r="B355" s="2" t="n">
        <v>51</v>
      </c>
      <c r="C355" s="2" t="s">
        <v>14</v>
      </c>
      <c r="D355" s="2" t="s">
        <v>15</v>
      </c>
      <c r="E355" s="2" t="s">
        <v>37</v>
      </c>
      <c r="F355" s="2" t="s">
        <v>38</v>
      </c>
      <c r="G355" s="2" t="s">
        <v>33</v>
      </c>
      <c r="H355" s="2" t="s">
        <v>870</v>
      </c>
      <c r="I355" s="2" t="s">
        <v>871</v>
      </c>
      <c r="J355" s="2" t="n">
        <v>7</v>
      </c>
      <c r="K355" s="2" t="n">
        <v>8615.74</v>
      </c>
      <c r="L355" s="2" t="s">
        <v>21</v>
      </c>
      <c r="M355" s="2" t="n">
        <v>4</v>
      </c>
    </row>
    <row r="356" customFormat="false" ht="15" hidden="false" customHeight="false" outlineLevel="0" collapsed="false">
      <c r="A356" s="2" t="s">
        <v>872</v>
      </c>
      <c r="B356" s="2" t="n">
        <v>18</v>
      </c>
      <c r="C356" s="2" t="s">
        <v>14</v>
      </c>
      <c r="D356" s="2" t="s">
        <v>31</v>
      </c>
      <c r="E356" s="2" t="s">
        <v>42</v>
      </c>
      <c r="F356" s="2" t="s">
        <v>108</v>
      </c>
      <c r="G356" s="2" t="s">
        <v>18</v>
      </c>
      <c r="H356" s="2" t="s">
        <v>306</v>
      </c>
      <c r="I356" s="2" t="s">
        <v>307</v>
      </c>
      <c r="J356" s="2" t="n">
        <v>3</v>
      </c>
      <c r="K356" s="2" t="n">
        <v>9823.86</v>
      </c>
      <c r="L356" s="2" t="s">
        <v>97</v>
      </c>
      <c r="M356" s="2" t="n">
        <v>3.4</v>
      </c>
    </row>
    <row r="357" customFormat="false" ht="15" hidden="false" customHeight="false" outlineLevel="0" collapsed="false">
      <c r="A357" s="2" t="s">
        <v>873</v>
      </c>
      <c r="B357" s="2" t="n">
        <v>50</v>
      </c>
      <c r="C357" s="2" t="s">
        <v>14</v>
      </c>
      <c r="D357" s="2" t="s">
        <v>52</v>
      </c>
      <c r="E357" s="2" t="s">
        <v>59</v>
      </c>
      <c r="F357" s="2" t="s">
        <v>202</v>
      </c>
      <c r="G357" s="2" t="s">
        <v>77</v>
      </c>
      <c r="H357" s="2" t="s">
        <v>182</v>
      </c>
      <c r="I357" s="2" t="s">
        <v>874</v>
      </c>
      <c r="J357" s="2" t="n">
        <v>7</v>
      </c>
      <c r="K357" s="2" t="n">
        <v>10094.56</v>
      </c>
      <c r="L357" s="2" t="s">
        <v>21</v>
      </c>
      <c r="M357" s="2" t="n">
        <v>3.1</v>
      </c>
    </row>
    <row r="358" customFormat="false" ht="15" hidden="false" customHeight="false" outlineLevel="0" collapsed="false">
      <c r="A358" s="2" t="s">
        <v>875</v>
      </c>
      <c r="B358" s="2" t="n">
        <v>58</v>
      </c>
      <c r="C358" s="2" t="s">
        <v>30</v>
      </c>
      <c r="D358" s="2" t="s">
        <v>31</v>
      </c>
      <c r="E358" s="2" t="s">
        <v>42</v>
      </c>
      <c r="F358" s="2" t="s">
        <v>69</v>
      </c>
      <c r="G358" s="2" t="s">
        <v>86</v>
      </c>
      <c r="H358" s="2" t="s">
        <v>876</v>
      </c>
      <c r="I358" s="2" t="s">
        <v>602</v>
      </c>
      <c r="J358" s="2" t="n">
        <v>8</v>
      </c>
      <c r="K358" s="2" t="n">
        <v>11161.63</v>
      </c>
      <c r="L358" s="2" t="s">
        <v>21</v>
      </c>
      <c r="M358" s="2" t="n">
        <v>3</v>
      </c>
    </row>
    <row r="359" customFormat="false" ht="15" hidden="false" customHeight="false" outlineLevel="0" collapsed="false">
      <c r="A359" s="2" t="s">
        <v>877</v>
      </c>
      <c r="B359" s="2" t="n">
        <v>74</v>
      </c>
      <c r="C359" s="2" t="s">
        <v>30</v>
      </c>
      <c r="D359" s="2" t="s">
        <v>31</v>
      </c>
      <c r="E359" s="2" t="s">
        <v>59</v>
      </c>
      <c r="F359" s="2" t="s">
        <v>202</v>
      </c>
      <c r="G359" s="2" t="s">
        <v>18</v>
      </c>
      <c r="H359" s="2" t="s">
        <v>389</v>
      </c>
      <c r="I359" s="2" t="s">
        <v>878</v>
      </c>
      <c r="J359" s="2" t="n">
        <v>2</v>
      </c>
      <c r="K359" s="2" t="n">
        <v>9633.13</v>
      </c>
      <c r="L359" s="2" t="s">
        <v>21</v>
      </c>
      <c r="M359" s="2" t="n">
        <v>2.7</v>
      </c>
    </row>
    <row r="360" customFormat="false" ht="15" hidden="false" customHeight="false" outlineLevel="0" collapsed="false">
      <c r="A360" s="2" t="s">
        <v>879</v>
      </c>
      <c r="B360" s="2" t="n">
        <v>71</v>
      </c>
      <c r="C360" s="2" t="s">
        <v>14</v>
      </c>
      <c r="D360" s="2" t="s">
        <v>31</v>
      </c>
      <c r="E360" s="2" t="s">
        <v>16</v>
      </c>
      <c r="F360" s="2" t="s">
        <v>90</v>
      </c>
      <c r="G360" s="2" t="s">
        <v>18</v>
      </c>
      <c r="H360" s="2" t="s">
        <v>375</v>
      </c>
      <c r="I360" s="2" t="s">
        <v>376</v>
      </c>
      <c r="J360" s="2" t="n">
        <v>7</v>
      </c>
      <c r="K360" s="2" t="n">
        <v>8336.87</v>
      </c>
      <c r="L360" s="2" t="s">
        <v>57</v>
      </c>
      <c r="M360" s="2" t="n">
        <v>3.9</v>
      </c>
    </row>
    <row r="361" customFormat="false" ht="15" hidden="false" customHeight="false" outlineLevel="0" collapsed="false">
      <c r="A361" s="2" t="s">
        <v>880</v>
      </c>
      <c r="B361" s="2" t="n">
        <v>74</v>
      </c>
      <c r="C361" s="2" t="s">
        <v>14</v>
      </c>
      <c r="D361" s="2" t="s">
        <v>23</v>
      </c>
      <c r="E361" s="2" t="s">
        <v>53</v>
      </c>
      <c r="F361" s="2" t="s">
        <v>54</v>
      </c>
      <c r="G361" s="2" t="s">
        <v>26</v>
      </c>
      <c r="H361" s="2" t="s">
        <v>206</v>
      </c>
      <c r="I361" s="2" t="s">
        <v>583</v>
      </c>
      <c r="J361" s="2" t="n">
        <v>5</v>
      </c>
      <c r="K361" s="2" t="n">
        <v>4198.35</v>
      </c>
      <c r="L361" s="2" t="s">
        <v>57</v>
      </c>
      <c r="M361" s="2" t="n">
        <v>4.2</v>
      </c>
    </row>
    <row r="362" customFormat="false" ht="15" hidden="false" customHeight="false" outlineLevel="0" collapsed="false">
      <c r="A362" s="2" t="s">
        <v>881</v>
      </c>
      <c r="B362" s="2" t="n">
        <v>80</v>
      </c>
      <c r="C362" s="2" t="s">
        <v>14</v>
      </c>
      <c r="D362" s="2" t="s">
        <v>52</v>
      </c>
      <c r="E362" s="2" t="s">
        <v>53</v>
      </c>
      <c r="F362" s="2" t="s">
        <v>154</v>
      </c>
      <c r="G362" s="2" t="s">
        <v>86</v>
      </c>
      <c r="H362" s="2" t="s">
        <v>164</v>
      </c>
      <c r="I362" s="2" t="s">
        <v>882</v>
      </c>
      <c r="J362" s="2" t="n">
        <v>1</v>
      </c>
      <c r="K362" s="2" t="n">
        <v>3543.25</v>
      </c>
      <c r="L362" s="2" t="s">
        <v>57</v>
      </c>
      <c r="M362" s="2" t="n">
        <v>3.7</v>
      </c>
    </row>
    <row r="363" customFormat="false" ht="15" hidden="false" customHeight="false" outlineLevel="0" collapsed="false">
      <c r="A363" s="2" t="s">
        <v>883</v>
      </c>
      <c r="B363" s="2" t="n">
        <v>85</v>
      </c>
      <c r="C363" s="2" t="s">
        <v>14</v>
      </c>
      <c r="D363" s="2" t="s">
        <v>15</v>
      </c>
      <c r="E363" s="2" t="s">
        <v>24</v>
      </c>
      <c r="F363" s="2" t="s">
        <v>25</v>
      </c>
      <c r="G363" s="2" t="s">
        <v>77</v>
      </c>
      <c r="H363" s="2" t="s">
        <v>884</v>
      </c>
      <c r="I363" s="2" t="s">
        <v>885</v>
      </c>
      <c r="J363" s="2" t="n">
        <v>8</v>
      </c>
      <c r="K363" s="2" t="n">
        <v>14796.37</v>
      </c>
      <c r="L363" s="2" t="s">
        <v>21</v>
      </c>
      <c r="M363" s="2" t="n">
        <v>3.1</v>
      </c>
    </row>
    <row r="364" customFormat="false" ht="15" hidden="false" customHeight="false" outlineLevel="0" collapsed="false">
      <c r="A364" s="2" t="s">
        <v>886</v>
      </c>
      <c r="B364" s="2" t="n">
        <v>89</v>
      </c>
      <c r="C364" s="2" t="s">
        <v>14</v>
      </c>
      <c r="D364" s="2" t="s">
        <v>31</v>
      </c>
      <c r="E364" s="2" t="s">
        <v>37</v>
      </c>
      <c r="F364" s="2" t="s">
        <v>151</v>
      </c>
      <c r="G364" s="2" t="s">
        <v>26</v>
      </c>
      <c r="H364" s="2" t="s">
        <v>599</v>
      </c>
      <c r="I364" s="2" t="s">
        <v>887</v>
      </c>
      <c r="J364" s="2" t="n">
        <v>5</v>
      </c>
      <c r="K364" s="2" t="n">
        <v>8825.65</v>
      </c>
      <c r="L364" s="2" t="s">
        <v>21</v>
      </c>
      <c r="M364" s="2" t="n">
        <v>2.4</v>
      </c>
    </row>
    <row r="365" customFormat="false" ht="15" hidden="false" customHeight="false" outlineLevel="0" collapsed="false">
      <c r="A365" s="2" t="s">
        <v>888</v>
      </c>
      <c r="B365" s="2" t="n">
        <v>80</v>
      </c>
      <c r="C365" s="2" t="s">
        <v>30</v>
      </c>
      <c r="D365" s="2" t="s">
        <v>64</v>
      </c>
      <c r="E365" s="2" t="s">
        <v>59</v>
      </c>
      <c r="F365" s="2" t="s">
        <v>202</v>
      </c>
      <c r="G365" s="2" t="s">
        <v>86</v>
      </c>
      <c r="H365" s="2" t="s">
        <v>82</v>
      </c>
      <c r="I365" s="2" t="s">
        <v>889</v>
      </c>
      <c r="J365" s="2" t="n">
        <v>7</v>
      </c>
      <c r="K365" s="2" t="n">
        <v>11524.18</v>
      </c>
      <c r="L365" s="2" t="s">
        <v>21</v>
      </c>
      <c r="M365" s="2" t="n">
        <v>3.5</v>
      </c>
    </row>
    <row r="366" customFormat="false" ht="15" hidden="false" customHeight="false" outlineLevel="0" collapsed="false">
      <c r="A366" s="2" t="s">
        <v>890</v>
      </c>
      <c r="B366" s="2" t="n">
        <v>75</v>
      </c>
      <c r="C366" s="2" t="s">
        <v>14</v>
      </c>
      <c r="D366" s="2" t="s">
        <v>52</v>
      </c>
      <c r="E366" s="2" t="s">
        <v>53</v>
      </c>
      <c r="F366" s="2" t="s">
        <v>54</v>
      </c>
      <c r="G366" s="2" t="s">
        <v>86</v>
      </c>
      <c r="H366" s="2" t="s">
        <v>840</v>
      </c>
      <c r="I366" s="2" t="s">
        <v>891</v>
      </c>
      <c r="J366" s="2" t="n">
        <v>4</v>
      </c>
      <c r="K366" s="2" t="n">
        <v>4796.38</v>
      </c>
      <c r="L366" s="2" t="s">
        <v>21</v>
      </c>
      <c r="M366" s="2" t="n">
        <v>3.5</v>
      </c>
    </row>
    <row r="367" customFormat="false" ht="15" hidden="false" customHeight="false" outlineLevel="0" collapsed="false">
      <c r="A367" s="2" t="s">
        <v>892</v>
      </c>
      <c r="B367" s="2" t="n">
        <v>22</v>
      </c>
      <c r="C367" s="2" t="s">
        <v>14</v>
      </c>
      <c r="D367" s="2" t="s">
        <v>31</v>
      </c>
      <c r="E367" s="2" t="s">
        <v>24</v>
      </c>
      <c r="F367" s="2" t="s">
        <v>372</v>
      </c>
      <c r="G367" s="2" t="s">
        <v>26</v>
      </c>
      <c r="H367" s="2" t="s">
        <v>424</v>
      </c>
      <c r="I367" s="2" t="s">
        <v>378</v>
      </c>
      <c r="J367" s="2" t="n">
        <v>7</v>
      </c>
      <c r="K367" s="2" t="n">
        <v>22112.72</v>
      </c>
      <c r="L367" s="2" t="s">
        <v>119</v>
      </c>
      <c r="M367" s="2"/>
    </row>
    <row r="368" customFormat="false" ht="15" hidden="false" customHeight="false" outlineLevel="0" collapsed="false">
      <c r="A368" s="2" t="s">
        <v>893</v>
      </c>
      <c r="B368" s="2" t="n">
        <v>64</v>
      </c>
      <c r="C368" s="2" t="s">
        <v>14</v>
      </c>
      <c r="D368" s="2" t="s">
        <v>64</v>
      </c>
      <c r="E368" s="2" t="s">
        <v>53</v>
      </c>
      <c r="F368" s="2" t="s">
        <v>54</v>
      </c>
      <c r="G368" s="2" t="s">
        <v>26</v>
      </c>
      <c r="H368" s="2" t="s">
        <v>762</v>
      </c>
      <c r="I368" s="2" t="s">
        <v>640</v>
      </c>
      <c r="J368" s="2" t="n">
        <v>1</v>
      </c>
      <c r="K368" s="2" t="n">
        <v>3002.82</v>
      </c>
      <c r="L368" s="2" t="s">
        <v>21</v>
      </c>
      <c r="M368" s="2" t="n">
        <v>3.4</v>
      </c>
    </row>
    <row r="369" customFormat="false" ht="15" hidden="false" customHeight="false" outlineLevel="0" collapsed="false">
      <c r="A369" s="2" t="s">
        <v>894</v>
      </c>
      <c r="B369" s="2" t="n">
        <v>46</v>
      </c>
      <c r="C369" s="2" t="s">
        <v>14</v>
      </c>
      <c r="D369" s="2" t="s">
        <v>15</v>
      </c>
      <c r="E369" s="2" t="s">
        <v>59</v>
      </c>
      <c r="F369" s="2" t="s">
        <v>202</v>
      </c>
      <c r="G369" s="2" t="s">
        <v>26</v>
      </c>
      <c r="H369" s="2" t="s">
        <v>895</v>
      </c>
      <c r="I369" s="2" t="s">
        <v>896</v>
      </c>
      <c r="J369" s="2" t="n">
        <v>6</v>
      </c>
      <c r="K369" s="2" t="n">
        <v>8747.21</v>
      </c>
      <c r="L369" s="2" t="s">
        <v>57</v>
      </c>
      <c r="M369" s="2" t="n">
        <v>3.7</v>
      </c>
    </row>
    <row r="370" customFormat="false" ht="15" hidden="false" customHeight="false" outlineLevel="0" collapsed="false">
      <c r="A370" s="2" t="s">
        <v>897</v>
      </c>
      <c r="B370" s="2" t="n">
        <v>81</v>
      </c>
      <c r="C370" s="2" t="s">
        <v>14</v>
      </c>
      <c r="D370" s="2" t="s">
        <v>52</v>
      </c>
      <c r="E370" s="2" t="s">
        <v>42</v>
      </c>
      <c r="F370" s="2" t="s">
        <v>81</v>
      </c>
      <c r="G370" s="2" t="s">
        <v>26</v>
      </c>
      <c r="H370" s="2" t="s">
        <v>848</v>
      </c>
      <c r="I370" s="2" t="s">
        <v>898</v>
      </c>
      <c r="J370" s="2" t="n">
        <v>7</v>
      </c>
      <c r="K370" s="2" t="n">
        <v>14924.61</v>
      </c>
      <c r="L370" s="2" t="s">
        <v>21</v>
      </c>
      <c r="M370" s="2" t="n">
        <v>2.3</v>
      </c>
    </row>
    <row r="371" customFormat="false" ht="15" hidden="false" customHeight="false" outlineLevel="0" collapsed="false">
      <c r="A371" s="2" t="s">
        <v>899</v>
      </c>
      <c r="B371" s="2" t="n">
        <v>61</v>
      </c>
      <c r="C371" s="2" t="s">
        <v>14</v>
      </c>
      <c r="D371" s="2" t="s">
        <v>52</v>
      </c>
      <c r="E371" s="2" t="s">
        <v>42</v>
      </c>
      <c r="F371" s="2" t="s">
        <v>69</v>
      </c>
      <c r="G371" s="2" t="s">
        <v>77</v>
      </c>
      <c r="H371" s="2" t="s">
        <v>460</v>
      </c>
      <c r="I371" s="2" t="s">
        <v>461</v>
      </c>
      <c r="J371" s="2" t="n">
        <v>6</v>
      </c>
      <c r="K371" s="2" t="n">
        <v>8586.97</v>
      </c>
      <c r="L371" s="2" t="s">
        <v>21</v>
      </c>
      <c r="M371" s="2" t="n">
        <v>2</v>
      </c>
    </row>
    <row r="372" customFormat="false" ht="15" hidden="false" customHeight="false" outlineLevel="0" collapsed="false">
      <c r="A372" s="2" t="s">
        <v>900</v>
      </c>
      <c r="B372" s="2" t="n">
        <v>81</v>
      </c>
      <c r="C372" s="2" t="s">
        <v>14</v>
      </c>
      <c r="D372" s="2" t="s">
        <v>23</v>
      </c>
      <c r="E372" s="2" t="s">
        <v>37</v>
      </c>
      <c r="F372" s="2" t="s">
        <v>158</v>
      </c>
      <c r="G372" s="2" t="s">
        <v>26</v>
      </c>
      <c r="H372" s="2" t="s">
        <v>901</v>
      </c>
      <c r="I372" s="2" t="s">
        <v>466</v>
      </c>
      <c r="J372" s="2" t="n">
        <v>7</v>
      </c>
      <c r="K372" s="2" t="n">
        <v>7228.27</v>
      </c>
      <c r="L372" s="2" t="s">
        <v>21</v>
      </c>
      <c r="M372" s="2" t="n">
        <v>3.8</v>
      </c>
    </row>
    <row r="373" customFormat="false" ht="15" hidden="false" customHeight="false" outlineLevel="0" collapsed="false">
      <c r="A373" s="2" t="s">
        <v>902</v>
      </c>
      <c r="B373" s="2" t="n">
        <v>40</v>
      </c>
      <c r="C373" s="2" t="s">
        <v>14</v>
      </c>
      <c r="D373" s="2" t="s">
        <v>31</v>
      </c>
      <c r="E373" s="2" t="s">
        <v>53</v>
      </c>
      <c r="F373" s="2" t="s">
        <v>54</v>
      </c>
      <c r="G373" s="2" t="s">
        <v>26</v>
      </c>
      <c r="H373" s="2" t="s">
        <v>712</v>
      </c>
      <c r="I373" s="2" t="s">
        <v>903</v>
      </c>
      <c r="J373" s="2" t="n">
        <v>1</v>
      </c>
      <c r="K373" s="2" t="n">
        <v>2834.99</v>
      </c>
      <c r="L373" s="2" t="s">
        <v>97</v>
      </c>
      <c r="M373" s="2" t="n">
        <v>4.2</v>
      </c>
    </row>
    <row r="374" customFormat="false" ht="15" hidden="false" customHeight="false" outlineLevel="0" collapsed="false">
      <c r="A374" s="2" t="s">
        <v>904</v>
      </c>
      <c r="B374" s="2" t="n">
        <v>49</v>
      </c>
      <c r="C374" s="2" t="s">
        <v>30</v>
      </c>
      <c r="D374" s="2" t="s">
        <v>52</v>
      </c>
      <c r="E374" s="2" t="s">
        <v>59</v>
      </c>
      <c r="F374" s="2" t="s">
        <v>202</v>
      </c>
      <c r="G374" s="2" t="s">
        <v>77</v>
      </c>
      <c r="H374" s="2" t="s">
        <v>149</v>
      </c>
      <c r="I374" s="2" t="s">
        <v>562</v>
      </c>
      <c r="J374" s="2" t="n">
        <v>7</v>
      </c>
      <c r="K374" s="2" t="n">
        <v>11009.9</v>
      </c>
      <c r="L374" s="2" t="s">
        <v>57</v>
      </c>
      <c r="M374" s="2" t="n">
        <v>2.1</v>
      </c>
    </row>
    <row r="375" customFormat="false" ht="15" hidden="false" customHeight="false" outlineLevel="0" collapsed="false">
      <c r="A375" s="2" t="s">
        <v>905</v>
      </c>
      <c r="B375" s="2" t="n">
        <v>88</v>
      </c>
      <c r="C375" s="2" t="s">
        <v>30</v>
      </c>
      <c r="D375" s="2" t="s">
        <v>23</v>
      </c>
      <c r="E375" s="2" t="s">
        <v>37</v>
      </c>
      <c r="F375" s="2" t="s">
        <v>151</v>
      </c>
      <c r="G375" s="2" t="s">
        <v>18</v>
      </c>
      <c r="H375" s="2" t="s">
        <v>906</v>
      </c>
      <c r="I375" s="2" t="s">
        <v>907</v>
      </c>
      <c r="J375" s="2" t="n">
        <v>5</v>
      </c>
      <c r="K375" s="2" t="n">
        <v>6852.12</v>
      </c>
      <c r="L375" s="2" t="s">
        <v>21</v>
      </c>
      <c r="M375" s="2" t="n">
        <v>3.1</v>
      </c>
    </row>
    <row r="376" customFormat="false" ht="15" hidden="false" customHeight="false" outlineLevel="0" collapsed="false">
      <c r="A376" s="2" t="s">
        <v>908</v>
      </c>
      <c r="B376" s="2" t="n">
        <v>34</v>
      </c>
      <c r="C376" s="2" t="s">
        <v>14</v>
      </c>
      <c r="D376" s="2" t="s">
        <v>23</v>
      </c>
      <c r="E376" s="2" t="s">
        <v>24</v>
      </c>
      <c r="F376" s="2" t="s">
        <v>372</v>
      </c>
      <c r="G376" s="2" t="s">
        <v>48</v>
      </c>
      <c r="H376" s="2" t="s">
        <v>878</v>
      </c>
      <c r="I376" s="2" t="s">
        <v>373</v>
      </c>
      <c r="J376" s="2" t="n">
        <v>7</v>
      </c>
      <c r="K376" s="2" t="n">
        <v>13952.52</v>
      </c>
      <c r="L376" s="2" t="s">
        <v>21</v>
      </c>
      <c r="M376" s="2" t="n">
        <v>4.5</v>
      </c>
    </row>
    <row r="377" customFormat="false" ht="15" hidden="false" customHeight="false" outlineLevel="0" collapsed="false">
      <c r="A377" s="2" t="s">
        <v>909</v>
      </c>
      <c r="B377" s="2" t="n">
        <v>86</v>
      </c>
      <c r="C377" s="2" t="s">
        <v>30</v>
      </c>
      <c r="D377" s="2" t="s">
        <v>52</v>
      </c>
      <c r="E377" s="2" t="s">
        <v>42</v>
      </c>
      <c r="F377" s="2" t="s">
        <v>69</v>
      </c>
      <c r="G377" s="2" t="s">
        <v>86</v>
      </c>
      <c r="H377" s="2" t="s">
        <v>256</v>
      </c>
      <c r="I377" s="2" t="s">
        <v>903</v>
      </c>
      <c r="J377" s="2" t="n">
        <v>4</v>
      </c>
      <c r="K377" s="2" t="n">
        <v>11647.95</v>
      </c>
      <c r="L377" s="2" t="s">
        <v>21</v>
      </c>
      <c r="M377" s="2" t="n">
        <v>4.4</v>
      </c>
    </row>
    <row r="378" customFormat="false" ht="15" hidden="false" customHeight="false" outlineLevel="0" collapsed="false">
      <c r="A378" s="2" t="s">
        <v>910</v>
      </c>
      <c r="B378" s="2" t="n">
        <v>38</v>
      </c>
      <c r="C378" s="2" t="s">
        <v>30</v>
      </c>
      <c r="D378" s="2" t="s">
        <v>15</v>
      </c>
      <c r="E378" s="2" t="s">
        <v>16</v>
      </c>
      <c r="F378" s="2" t="s">
        <v>90</v>
      </c>
      <c r="G378" s="2" t="s">
        <v>48</v>
      </c>
      <c r="H378" s="2" t="s">
        <v>428</v>
      </c>
      <c r="I378" s="2" t="s">
        <v>754</v>
      </c>
      <c r="J378" s="2" t="n">
        <v>4</v>
      </c>
      <c r="K378" s="2" t="n">
        <v>10522.94</v>
      </c>
      <c r="L378" s="2" t="s">
        <v>21</v>
      </c>
      <c r="M378" s="2" t="n">
        <v>2.7</v>
      </c>
    </row>
    <row r="379" customFormat="false" ht="15" hidden="false" customHeight="false" outlineLevel="0" collapsed="false">
      <c r="A379" s="2" t="s">
        <v>911</v>
      </c>
      <c r="B379" s="2" t="n">
        <v>89</v>
      </c>
      <c r="C379" s="2" t="s">
        <v>14</v>
      </c>
      <c r="D379" s="2" t="s">
        <v>23</v>
      </c>
      <c r="E379" s="2" t="s">
        <v>53</v>
      </c>
      <c r="F379" s="2" t="s">
        <v>76</v>
      </c>
      <c r="G379" s="2" t="s">
        <v>26</v>
      </c>
      <c r="H379" s="2" t="s">
        <v>912</v>
      </c>
      <c r="I379" s="2" t="s">
        <v>867</v>
      </c>
      <c r="J379" s="2" t="n">
        <v>3</v>
      </c>
      <c r="K379" s="2" t="n">
        <v>4178.39</v>
      </c>
      <c r="L379" s="2" t="s">
        <v>57</v>
      </c>
      <c r="M379" s="2" t="n">
        <v>4.7</v>
      </c>
    </row>
    <row r="380" customFormat="false" ht="15" hidden="false" customHeight="false" outlineLevel="0" collapsed="false">
      <c r="A380" s="2" t="s">
        <v>913</v>
      </c>
      <c r="B380" s="2" t="n">
        <v>67</v>
      </c>
      <c r="C380" s="2" t="s">
        <v>30</v>
      </c>
      <c r="D380" s="2" t="s">
        <v>15</v>
      </c>
      <c r="E380" s="2" t="s">
        <v>24</v>
      </c>
      <c r="F380" s="2" t="s">
        <v>25</v>
      </c>
      <c r="G380" s="2" t="s">
        <v>86</v>
      </c>
      <c r="H380" s="2" t="s">
        <v>914</v>
      </c>
      <c r="I380" s="2" t="s">
        <v>915</v>
      </c>
      <c r="J380" s="2" t="n">
        <v>9</v>
      </c>
      <c r="K380" s="2" t="n">
        <v>24386.14</v>
      </c>
      <c r="L380" s="2" t="s">
        <v>57</v>
      </c>
      <c r="M380" s="2" t="n">
        <v>2.9</v>
      </c>
    </row>
    <row r="381" customFormat="false" ht="15" hidden="false" customHeight="false" outlineLevel="0" collapsed="false">
      <c r="A381" s="2" t="s">
        <v>916</v>
      </c>
      <c r="B381" s="2" t="n">
        <v>65</v>
      </c>
      <c r="C381" s="2" t="s">
        <v>14</v>
      </c>
      <c r="D381" s="2" t="s">
        <v>64</v>
      </c>
      <c r="E381" s="2" t="s">
        <v>59</v>
      </c>
      <c r="F381" s="2" t="s">
        <v>85</v>
      </c>
      <c r="G381" s="2" t="s">
        <v>18</v>
      </c>
      <c r="H381" s="2" t="s">
        <v>49</v>
      </c>
      <c r="I381" s="2" t="s">
        <v>56</v>
      </c>
      <c r="J381" s="2" t="n">
        <v>6</v>
      </c>
      <c r="K381" s="2" t="n">
        <v>12310.21</v>
      </c>
      <c r="L381" s="2" t="s">
        <v>97</v>
      </c>
      <c r="M381" s="2" t="n">
        <v>4.3</v>
      </c>
    </row>
    <row r="382" customFormat="false" ht="15" hidden="false" customHeight="false" outlineLevel="0" collapsed="false">
      <c r="A382" s="2" t="s">
        <v>917</v>
      </c>
      <c r="B382" s="2" t="n">
        <v>33</v>
      </c>
      <c r="C382" s="2" t="s">
        <v>30</v>
      </c>
      <c r="D382" s="2" t="s">
        <v>31</v>
      </c>
      <c r="E382" s="2" t="s">
        <v>53</v>
      </c>
      <c r="F382" s="2" t="s">
        <v>54</v>
      </c>
      <c r="G382" s="2" t="s">
        <v>26</v>
      </c>
      <c r="H382" s="2" t="s">
        <v>812</v>
      </c>
      <c r="I382" s="2" t="s">
        <v>918</v>
      </c>
      <c r="J382" s="2" t="n">
        <v>3</v>
      </c>
      <c r="K382" s="2" t="n">
        <v>5018.13</v>
      </c>
      <c r="L382" s="2" t="s">
        <v>21</v>
      </c>
      <c r="M382" s="2" t="n">
        <v>3.1</v>
      </c>
    </row>
    <row r="383" customFormat="false" ht="15" hidden="false" customHeight="false" outlineLevel="0" collapsed="false">
      <c r="A383" s="2" t="s">
        <v>919</v>
      </c>
      <c r="B383" s="2" t="n">
        <v>37</v>
      </c>
      <c r="C383" s="2" t="s">
        <v>14</v>
      </c>
      <c r="D383" s="2" t="s">
        <v>64</v>
      </c>
      <c r="E383" s="2" t="s">
        <v>59</v>
      </c>
      <c r="F383" s="2" t="s">
        <v>60</v>
      </c>
      <c r="G383" s="2" t="s">
        <v>48</v>
      </c>
      <c r="H383" s="2" t="s">
        <v>920</v>
      </c>
      <c r="I383" s="2" t="s">
        <v>921</v>
      </c>
      <c r="J383" s="2" t="n">
        <v>8</v>
      </c>
      <c r="K383" s="2" t="n">
        <v>10635.96</v>
      </c>
      <c r="L383" s="2" t="s">
        <v>97</v>
      </c>
      <c r="M383" s="2" t="n">
        <v>2.9</v>
      </c>
    </row>
    <row r="384" customFormat="false" ht="15" hidden="false" customHeight="false" outlineLevel="0" collapsed="false">
      <c r="A384" s="2" t="s">
        <v>922</v>
      </c>
      <c r="B384" s="2" t="n">
        <v>88</v>
      </c>
      <c r="C384" s="2" t="s">
        <v>30</v>
      </c>
      <c r="D384" s="2" t="s">
        <v>31</v>
      </c>
      <c r="E384" s="2" t="s">
        <v>37</v>
      </c>
      <c r="F384" s="2" t="s">
        <v>173</v>
      </c>
      <c r="G384" s="2" t="s">
        <v>26</v>
      </c>
      <c r="H384" s="2" t="s">
        <v>923</v>
      </c>
      <c r="I384" s="2" t="s">
        <v>924</v>
      </c>
      <c r="J384" s="2" t="n">
        <v>8</v>
      </c>
      <c r="K384" s="2" t="n">
        <v>8343.88</v>
      </c>
      <c r="L384" s="2" t="s">
        <v>57</v>
      </c>
      <c r="M384" s="2" t="n">
        <v>3.9</v>
      </c>
    </row>
    <row r="385" customFormat="false" ht="15" hidden="false" customHeight="false" outlineLevel="0" collapsed="false">
      <c r="A385" s="2" t="s">
        <v>925</v>
      </c>
      <c r="B385" s="2" t="n">
        <v>69</v>
      </c>
      <c r="C385" s="2" t="s">
        <v>14</v>
      </c>
      <c r="D385" s="2" t="s">
        <v>15</v>
      </c>
      <c r="E385" s="2" t="s">
        <v>16</v>
      </c>
      <c r="F385" s="2" t="s">
        <v>17</v>
      </c>
      <c r="G385" s="2" t="s">
        <v>48</v>
      </c>
      <c r="H385" s="2" t="s">
        <v>171</v>
      </c>
      <c r="I385" s="2" t="s">
        <v>211</v>
      </c>
      <c r="J385" s="2" t="n">
        <v>6</v>
      </c>
      <c r="K385" s="2" t="n">
        <v>9014.6</v>
      </c>
      <c r="L385" s="2" t="s">
        <v>119</v>
      </c>
      <c r="M385" s="2"/>
    </row>
    <row r="386" customFormat="false" ht="15" hidden="false" customHeight="false" outlineLevel="0" collapsed="false">
      <c r="A386" s="2" t="s">
        <v>926</v>
      </c>
      <c r="B386" s="2" t="n">
        <v>85</v>
      </c>
      <c r="C386" s="2" t="s">
        <v>30</v>
      </c>
      <c r="D386" s="2" t="s">
        <v>23</v>
      </c>
      <c r="E386" s="2" t="s">
        <v>37</v>
      </c>
      <c r="F386" s="2" t="s">
        <v>158</v>
      </c>
      <c r="G386" s="2" t="s">
        <v>86</v>
      </c>
      <c r="H386" s="2" t="s">
        <v>779</v>
      </c>
      <c r="I386" s="2" t="s">
        <v>474</v>
      </c>
      <c r="J386" s="2" t="n">
        <v>7</v>
      </c>
      <c r="K386" s="2" t="n">
        <v>7837.29</v>
      </c>
      <c r="L386" s="2" t="s">
        <v>21</v>
      </c>
      <c r="M386" s="2" t="n">
        <v>3.9</v>
      </c>
    </row>
    <row r="387" customFormat="false" ht="15" hidden="false" customHeight="false" outlineLevel="0" collapsed="false">
      <c r="A387" s="2" t="s">
        <v>927</v>
      </c>
      <c r="B387" s="2" t="n">
        <v>49</v>
      </c>
      <c r="C387" s="2" t="s">
        <v>14</v>
      </c>
      <c r="D387" s="2" t="s">
        <v>15</v>
      </c>
      <c r="E387" s="2" t="s">
        <v>53</v>
      </c>
      <c r="F387" s="2" t="s">
        <v>154</v>
      </c>
      <c r="G387" s="2" t="s">
        <v>77</v>
      </c>
      <c r="H387" s="2" t="s">
        <v>928</v>
      </c>
      <c r="I387" s="2" t="s">
        <v>457</v>
      </c>
      <c r="J387" s="2" t="n">
        <v>1</v>
      </c>
      <c r="K387" s="2" t="n">
        <v>3469.47</v>
      </c>
      <c r="L387" s="2" t="s">
        <v>57</v>
      </c>
      <c r="M387" s="2" t="n">
        <v>4</v>
      </c>
    </row>
    <row r="388" customFormat="false" ht="15" hidden="false" customHeight="false" outlineLevel="0" collapsed="false">
      <c r="A388" s="2" t="s">
        <v>929</v>
      </c>
      <c r="B388" s="2" t="n">
        <v>83</v>
      </c>
      <c r="C388" s="2" t="s">
        <v>30</v>
      </c>
      <c r="D388" s="2" t="s">
        <v>52</v>
      </c>
      <c r="E388" s="2" t="s">
        <v>42</v>
      </c>
      <c r="F388" s="2" t="s">
        <v>81</v>
      </c>
      <c r="G388" s="2" t="s">
        <v>48</v>
      </c>
      <c r="H388" s="2" t="s">
        <v>806</v>
      </c>
      <c r="I388" s="2" t="s">
        <v>771</v>
      </c>
      <c r="J388" s="2" t="n">
        <v>4</v>
      </c>
      <c r="K388" s="2" t="n">
        <v>9798.67</v>
      </c>
      <c r="L388" s="2" t="s">
        <v>21</v>
      </c>
      <c r="M388" s="2" t="n">
        <v>3.9</v>
      </c>
    </row>
    <row r="389" customFormat="false" ht="15" hidden="false" customHeight="false" outlineLevel="0" collapsed="false">
      <c r="A389" s="2" t="s">
        <v>930</v>
      </c>
      <c r="B389" s="2" t="n">
        <v>86</v>
      </c>
      <c r="C389" s="2" t="s">
        <v>14</v>
      </c>
      <c r="D389" s="2" t="s">
        <v>31</v>
      </c>
      <c r="E389" s="2" t="s">
        <v>16</v>
      </c>
      <c r="F389" s="2" t="s">
        <v>17</v>
      </c>
      <c r="G389" s="2" t="s">
        <v>48</v>
      </c>
      <c r="H389" s="2" t="s">
        <v>468</v>
      </c>
      <c r="I389" s="2" t="s">
        <v>697</v>
      </c>
      <c r="J389" s="2" t="n">
        <v>5</v>
      </c>
      <c r="K389" s="2" t="n">
        <v>8361.18</v>
      </c>
      <c r="L389" s="2" t="s">
        <v>57</v>
      </c>
      <c r="M389" s="2" t="n">
        <v>4.4</v>
      </c>
    </row>
    <row r="390" customFormat="false" ht="15" hidden="false" customHeight="false" outlineLevel="0" collapsed="false">
      <c r="A390" s="2" t="s">
        <v>931</v>
      </c>
      <c r="B390" s="2" t="n">
        <v>73</v>
      </c>
      <c r="C390" s="2" t="s">
        <v>14</v>
      </c>
      <c r="D390" s="2" t="s">
        <v>64</v>
      </c>
      <c r="E390" s="2" t="s">
        <v>42</v>
      </c>
      <c r="F390" s="2" t="s">
        <v>108</v>
      </c>
      <c r="G390" s="2" t="s">
        <v>48</v>
      </c>
      <c r="H390" s="2" t="s">
        <v>171</v>
      </c>
      <c r="I390" s="2" t="s">
        <v>642</v>
      </c>
      <c r="J390" s="2" t="n">
        <v>3</v>
      </c>
      <c r="K390" s="2" t="n">
        <v>10344.39</v>
      </c>
      <c r="L390" s="2" t="s">
        <v>21</v>
      </c>
      <c r="M390" s="2" t="n">
        <v>3.7</v>
      </c>
    </row>
    <row r="391" customFormat="false" ht="15" hidden="false" customHeight="false" outlineLevel="0" collapsed="false">
      <c r="A391" s="2" t="s">
        <v>932</v>
      </c>
      <c r="B391" s="2" t="n">
        <v>50</v>
      </c>
      <c r="C391" s="2" t="s">
        <v>14</v>
      </c>
      <c r="D391" s="2" t="s">
        <v>23</v>
      </c>
      <c r="E391" s="2" t="s">
        <v>16</v>
      </c>
      <c r="F391" s="2" t="s">
        <v>47</v>
      </c>
      <c r="G391" s="2" t="s">
        <v>77</v>
      </c>
      <c r="H391" s="2" t="s">
        <v>933</v>
      </c>
      <c r="I391" s="2" t="s">
        <v>934</v>
      </c>
      <c r="J391" s="2" t="n">
        <v>2</v>
      </c>
      <c r="K391" s="2" t="n">
        <v>8443.17</v>
      </c>
      <c r="L391" s="2" t="s">
        <v>21</v>
      </c>
      <c r="M391" s="2" t="n">
        <v>3.4</v>
      </c>
    </row>
    <row r="392" customFormat="false" ht="15" hidden="false" customHeight="false" outlineLevel="0" collapsed="false">
      <c r="A392" s="2" t="s">
        <v>935</v>
      </c>
      <c r="B392" s="2" t="n">
        <v>18</v>
      </c>
      <c r="C392" s="2" t="s">
        <v>14</v>
      </c>
      <c r="D392" s="2" t="s">
        <v>23</v>
      </c>
      <c r="E392" s="2" t="s">
        <v>42</v>
      </c>
      <c r="F392" s="2" t="s">
        <v>69</v>
      </c>
      <c r="G392" s="2" t="s">
        <v>33</v>
      </c>
      <c r="H392" s="2" t="s">
        <v>297</v>
      </c>
      <c r="I392" s="2" t="s">
        <v>936</v>
      </c>
      <c r="J392" s="2" t="n">
        <v>4</v>
      </c>
      <c r="K392" s="2" t="n">
        <v>12448.84</v>
      </c>
      <c r="L392" s="2" t="s">
        <v>21</v>
      </c>
      <c r="M392" s="2" t="n">
        <v>4.4</v>
      </c>
    </row>
    <row r="393" customFormat="false" ht="15" hidden="false" customHeight="false" outlineLevel="0" collapsed="false">
      <c r="A393" s="2" t="s">
        <v>937</v>
      </c>
      <c r="B393" s="2" t="n">
        <v>29</v>
      </c>
      <c r="C393" s="2" t="s">
        <v>30</v>
      </c>
      <c r="D393" s="2" t="s">
        <v>52</v>
      </c>
      <c r="E393" s="2" t="s">
        <v>53</v>
      </c>
      <c r="F393" s="2" t="s">
        <v>253</v>
      </c>
      <c r="G393" s="2" t="s">
        <v>48</v>
      </c>
      <c r="H393" s="2" t="s">
        <v>285</v>
      </c>
      <c r="I393" s="2" t="s">
        <v>207</v>
      </c>
      <c r="J393" s="2" t="n">
        <v>1</v>
      </c>
      <c r="K393" s="2" t="n">
        <v>3728.59</v>
      </c>
      <c r="L393" s="2" t="s">
        <v>21</v>
      </c>
      <c r="M393" s="2" t="n">
        <v>2.8</v>
      </c>
    </row>
    <row r="394" customFormat="false" ht="15" hidden="false" customHeight="false" outlineLevel="0" collapsed="false">
      <c r="A394" s="2" t="s">
        <v>938</v>
      </c>
      <c r="B394" s="2" t="n">
        <v>87</v>
      </c>
      <c r="C394" s="2" t="s">
        <v>30</v>
      </c>
      <c r="D394" s="2" t="s">
        <v>64</v>
      </c>
      <c r="E394" s="2" t="s">
        <v>59</v>
      </c>
      <c r="F394" s="2" t="s">
        <v>202</v>
      </c>
      <c r="G394" s="2" t="s">
        <v>86</v>
      </c>
      <c r="H394" s="2" t="s">
        <v>138</v>
      </c>
      <c r="I394" s="2" t="s">
        <v>424</v>
      </c>
      <c r="J394" s="2" t="n">
        <v>9</v>
      </c>
      <c r="K394" s="2" t="n">
        <v>10930.18</v>
      </c>
      <c r="L394" s="2" t="s">
        <v>21</v>
      </c>
      <c r="M394" s="2" t="n">
        <v>3.1</v>
      </c>
    </row>
    <row r="395" customFormat="false" ht="15" hidden="false" customHeight="false" outlineLevel="0" collapsed="false">
      <c r="A395" s="2" t="s">
        <v>939</v>
      </c>
      <c r="B395" s="2" t="n">
        <v>68</v>
      </c>
      <c r="C395" s="2" t="s">
        <v>14</v>
      </c>
      <c r="D395" s="2" t="s">
        <v>15</v>
      </c>
      <c r="E395" s="2" t="s">
        <v>16</v>
      </c>
      <c r="F395" s="2" t="s">
        <v>47</v>
      </c>
      <c r="G395" s="2" t="s">
        <v>18</v>
      </c>
      <c r="H395" s="2" t="s">
        <v>606</v>
      </c>
      <c r="I395" s="2" t="s">
        <v>203</v>
      </c>
      <c r="J395" s="2" t="n">
        <v>7</v>
      </c>
      <c r="K395" s="2" t="n">
        <v>8428.52</v>
      </c>
      <c r="L395" s="2" t="s">
        <v>21</v>
      </c>
      <c r="M395" s="2" t="n">
        <v>3.8</v>
      </c>
    </row>
    <row r="396" customFormat="false" ht="15" hidden="false" customHeight="false" outlineLevel="0" collapsed="false">
      <c r="A396" s="2" t="s">
        <v>940</v>
      </c>
      <c r="B396" s="2" t="n">
        <v>50</v>
      </c>
      <c r="C396" s="2" t="s">
        <v>14</v>
      </c>
      <c r="D396" s="2" t="s">
        <v>31</v>
      </c>
      <c r="E396" s="2" t="s">
        <v>16</v>
      </c>
      <c r="F396" s="2" t="s">
        <v>90</v>
      </c>
      <c r="G396" s="2" t="s">
        <v>26</v>
      </c>
      <c r="H396" s="2" t="s">
        <v>941</v>
      </c>
      <c r="I396" s="2" t="s">
        <v>489</v>
      </c>
      <c r="J396" s="2" t="n">
        <v>6</v>
      </c>
      <c r="K396" s="2" t="n">
        <v>9255.09</v>
      </c>
      <c r="L396" s="2" t="s">
        <v>97</v>
      </c>
      <c r="M396" s="2" t="n">
        <v>3.3</v>
      </c>
    </row>
    <row r="397" customFormat="false" ht="15" hidden="false" customHeight="false" outlineLevel="0" collapsed="false">
      <c r="A397" s="2" t="s">
        <v>942</v>
      </c>
      <c r="B397" s="2" t="n">
        <v>50</v>
      </c>
      <c r="C397" s="2" t="s">
        <v>14</v>
      </c>
      <c r="D397" s="2" t="s">
        <v>64</v>
      </c>
      <c r="E397" s="2" t="s">
        <v>37</v>
      </c>
      <c r="F397" s="2" t="s">
        <v>38</v>
      </c>
      <c r="G397" s="2" t="s">
        <v>33</v>
      </c>
      <c r="H397" s="2" t="s">
        <v>943</v>
      </c>
      <c r="I397" s="2" t="s">
        <v>843</v>
      </c>
      <c r="J397" s="2" t="n">
        <v>7</v>
      </c>
      <c r="K397" s="2" t="n">
        <v>9458.2</v>
      </c>
      <c r="L397" s="2" t="s">
        <v>21</v>
      </c>
      <c r="M397" s="2" t="n">
        <v>2.4</v>
      </c>
    </row>
    <row r="398" customFormat="false" ht="15" hidden="false" customHeight="false" outlineLevel="0" collapsed="false">
      <c r="A398" s="2" t="s">
        <v>944</v>
      </c>
      <c r="B398" s="2" t="n">
        <v>58</v>
      </c>
      <c r="C398" s="2" t="s">
        <v>30</v>
      </c>
      <c r="D398" s="2" t="s">
        <v>52</v>
      </c>
      <c r="E398" s="2" t="s">
        <v>59</v>
      </c>
      <c r="F398" s="2" t="s">
        <v>202</v>
      </c>
      <c r="G398" s="2" t="s">
        <v>48</v>
      </c>
      <c r="H398" s="2" t="s">
        <v>945</v>
      </c>
      <c r="I398" s="2" t="s">
        <v>946</v>
      </c>
      <c r="J398" s="2" t="n">
        <v>3</v>
      </c>
      <c r="K398" s="2" t="n">
        <v>9012.55</v>
      </c>
      <c r="L398" s="2" t="s">
        <v>57</v>
      </c>
      <c r="M398" s="2" t="n">
        <v>4.4</v>
      </c>
    </row>
    <row r="399" customFormat="false" ht="15" hidden="false" customHeight="false" outlineLevel="0" collapsed="false">
      <c r="A399" s="2" t="s">
        <v>947</v>
      </c>
      <c r="B399" s="2" t="n">
        <v>72</v>
      </c>
      <c r="C399" s="2" t="s">
        <v>14</v>
      </c>
      <c r="D399" s="2" t="s">
        <v>31</v>
      </c>
      <c r="E399" s="2" t="s">
        <v>59</v>
      </c>
      <c r="F399" s="2" t="s">
        <v>65</v>
      </c>
      <c r="G399" s="2" t="s">
        <v>18</v>
      </c>
      <c r="H399" s="2" t="s">
        <v>948</v>
      </c>
      <c r="I399" s="2" t="s">
        <v>949</v>
      </c>
      <c r="J399" s="2" t="n">
        <v>6</v>
      </c>
      <c r="K399" s="2" t="n">
        <v>7747.18</v>
      </c>
      <c r="L399" s="2" t="s">
        <v>57</v>
      </c>
      <c r="M399" s="2" t="n">
        <v>4.3</v>
      </c>
    </row>
    <row r="400" customFormat="false" ht="15" hidden="false" customHeight="false" outlineLevel="0" collapsed="false">
      <c r="A400" s="2" t="s">
        <v>950</v>
      </c>
      <c r="B400" s="2" t="n">
        <v>79</v>
      </c>
      <c r="C400" s="2" t="s">
        <v>30</v>
      </c>
      <c r="D400" s="2" t="s">
        <v>52</v>
      </c>
      <c r="E400" s="2" t="s">
        <v>59</v>
      </c>
      <c r="F400" s="2" t="s">
        <v>202</v>
      </c>
      <c r="G400" s="2" t="s">
        <v>77</v>
      </c>
      <c r="H400" s="2" t="s">
        <v>492</v>
      </c>
      <c r="I400" s="2" t="s">
        <v>188</v>
      </c>
      <c r="J400" s="2" t="n">
        <v>9</v>
      </c>
      <c r="K400" s="2" t="n">
        <v>11918.38</v>
      </c>
      <c r="L400" s="2" t="s">
        <v>21</v>
      </c>
      <c r="M400" s="2" t="n">
        <v>4</v>
      </c>
    </row>
    <row r="401" customFormat="false" ht="15" hidden="false" customHeight="false" outlineLevel="0" collapsed="false">
      <c r="A401" s="2" t="s">
        <v>951</v>
      </c>
      <c r="B401" s="2" t="n">
        <v>53</v>
      </c>
      <c r="C401" s="2" t="s">
        <v>14</v>
      </c>
      <c r="D401" s="2" t="s">
        <v>23</v>
      </c>
      <c r="E401" s="2" t="s">
        <v>16</v>
      </c>
      <c r="F401" s="2" t="s">
        <v>47</v>
      </c>
      <c r="G401" s="2" t="s">
        <v>48</v>
      </c>
      <c r="H401" s="2" t="s">
        <v>303</v>
      </c>
      <c r="I401" s="2" t="s">
        <v>71</v>
      </c>
      <c r="J401" s="2" t="n">
        <v>4</v>
      </c>
      <c r="K401" s="2" t="n">
        <v>9063.52</v>
      </c>
      <c r="L401" s="2" t="s">
        <v>21</v>
      </c>
      <c r="M401" s="2" t="n">
        <v>3.4</v>
      </c>
    </row>
    <row r="402" customFormat="false" ht="15" hidden="false" customHeight="false" outlineLevel="0" collapsed="false">
      <c r="A402" s="2" t="s">
        <v>952</v>
      </c>
      <c r="B402" s="2" t="n">
        <v>69</v>
      </c>
      <c r="C402" s="2" t="s">
        <v>14</v>
      </c>
      <c r="D402" s="2" t="s">
        <v>31</v>
      </c>
      <c r="E402" s="2" t="s">
        <v>24</v>
      </c>
      <c r="F402" s="2" t="s">
        <v>372</v>
      </c>
      <c r="G402" s="2" t="s">
        <v>26</v>
      </c>
      <c r="H402" s="2" t="s">
        <v>95</v>
      </c>
      <c r="I402" s="2" t="s">
        <v>567</v>
      </c>
      <c r="J402" s="2" t="n">
        <v>8</v>
      </c>
      <c r="K402" s="2" t="n">
        <v>13096.21</v>
      </c>
      <c r="L402" s="2" t="s">
        <v>21</v>
      </c>
      <c r="M402" s="2" t="n">
        <v>3.6</v>
      </c>
    </row>
    <row r="403" customFormat="false" ht="15" hidden="false" customHeight="false" outlineLevel="0" collapsed="false">
      <c r="A403" s="2" t="s">
        <v>953</v>
      </c>
      <c r="B403" s="2" t="n">
        <v>46</v>
      </c>
      <c r="C403" s="2" t="s">
        <v>30</v>
      </c>
      <c r="D403" s="2" t="s">
        <v>64</v>
      </c>
      <c r="E403" s="2" t="s">
        <v>53</v>
      </c>
      <c r="F403" s="2" t="s">
        <v>154</v>
      </c>
      <c r="G403" s="2" t="s">
        <v>77</v>
      </c>
      <c r="H403" s="2" t="s">
        <v>843</v>
      </c>
      <c r="I403" s="2" t="s">
        <v>954</v>
      </c>
      <c r="J403" s="2" t="n">
        <v>1</v>
      </c>
      <c r="K403" s="2" t="n">
        <v>3587.15</v>
      </c>
      <c r="L403" s="2" t="s">
        <v>57</v>
      </c>
      <c r="M403" s="2" t="n">
        <v>4.1</v>
      </c>
    </row>
    <row r="404" customFormat="false" ht="15" hidden="false" customHeight="false" outlineLevel="0" collapsed="false">
      <c r="A404" s="2" t="s">
        <v>955</v>
      </c>
      <c r="B404" s="2" t="n">
        <v>39</v>
      </c>
      <c r="C404" s="2" t="s">
        <v>14</v>
      </c>
      <c r="D404" s="2" t="s">
        <v>52</v>
      </c>
      <c r="E404" s="2" t="s">
        <v>16</v>
      </c>
      <c r="F404" s="2" t="s">
        <v>17</v>
      </c>
      <c r="G404" s="2" t="s">
        <v>26</v>
      </c>
      <c r="H404" s="2" t="s">
        <v>956</v>
      </c>
      <c r="I404" s="2" t="s">
        <v>61</v>
      </c>
      <c r="J404" s="2" t="n">
        <v>1</v>
      </c>
      <c r="K404" s="2" t="n">
        <v>5566.23</v>
      </c>
      <c r="L404" s="2" t="s">
        <v>97</v>
      </c>
      <c r="M404" s="2" t="n">
        <v>2.2</v>
      </c>
    </row>
    <row r="405" customFormat="false" ht="15" hidden="false" customHeight="false" outlineLevel="0" collapsed="false">
      <c r="A405" s="2" t="s">
        <v>957</v>
      </c>
      <c r="B405" s="2" t="n">
        <v>79</v>
      </c>
      <c r="C405" s="2" t="s">
        <v>30</v>
      </c>
      <c r="D405" s="2" t="s">
        <v>31</v>
      </c>
      <c r="E405" s="2" t="s">
        <v>16</v>
      </c>
      <c r="F405" s="2" t="s">
        <v>32</v>
      </c>
      <c r="G405" s="2" t="s">
        <v>18</v>
      </c>
      <c r="H405" s="2" t="s">
        <v>775</v>
      </c>
      <c r="I405" s="2" t="s">
        <v>808</v>
      </c>
      <c r="J405" s="2" t="n">
        <v>4</v>
      </c>
      <c r="K405" s="2" t="n">
        <v>9847.22</v>
      </c>
      <c r="L405" s="2" t="s">
        <v>21</v>
      </c>
      <c r="M405" s="2" t="n">
        <v>2.4</v>
      </c>
    </row>
    <row r="406" customFormat="false" ht="15" hidden="false" customHeight="false" outlineLevel="0" collapsed="false">
      <c r="A406" s="2" t="s">
        <v>958</v>
      </c>
      <c r="B406" s="2" t="n">
        <v>67</v>
      </c>
      <c r="C406" s="2" t="s">
        <v>30</v>
      </c>
      <c r="D406" s="2" t="s">
        <v>52</v>
      </c>
      <c r="E406" s="2" t="s">
        <v>42</v>
      </c>
      <c r="F406" s="2" t="s">
        <v>69</v>
      </c>
      <c r="G406" s="2" t="s">
        <v>48</v>
      </c>
      <c r="H406" s="2" t="s">
        <v>355</v>
      </c>
      <c r="I406" s="2" t="s">
        <v>162</v>
      </c>
      <c r="J406" s="2" t="n">
        <v>5</v>
      </c>
      <c r="K406" s="2" t="n">
        <v>14061.82</v>
      </c>
      <c r="L406" s="2" t="s">
        <v>21</v>
      </c>
      <c r="M406" s="2" t="n">
        <v>4.7</v>
      </c>
    </row>
    <row r="407" customFormat="false" ht="15" hidden="false" customHeight="false" outlineLevel="0" collapsed="false">
      <c r="A407" s="2" t="s">
        <v>959</v>
      </c>
      <c r="B407" s="2" t="n">
        <v>53</v>
      </c>
      <c r="C407" s="2" t="s">
        <v>30</v>
      </c>
      <c r="D407" s="2" t="s">
        <v>23</v>
      </c>
      <c r="E407" s="2" t="s">
        <v>24</v>
      </c>
      <c r="F407" s="2" t="s">
        <v>147</v>
      </c>
      <c r="G407" s="2" t="s">
        <v>77</v>
      </c>
      <c r="H407" s="2" t="s">
        <v>135</v>
      </c>
      <c r="I407" s="2" t="s">
        <v>960</v>
      </c>
      <c r="J407" s="2" t="n">
        <v>6</v>
      </c>
      <c r="K407" s="2" t="n">
        <v>20160.64</v>
      </c>
      <c r="L407" s="2" t="s">
        <v>57</v>
      </c>
      <c r="M407" s="2" t="n">
        <v>4</v>
      </c>
    </row>
    <row r="408" customFormat="false" ht="15" hidden="false" customHeight="false" outlineLevel="0" collapsed="false">
      <c r="A408" s="2" t="s">
        <v>961</v>
      </c>
      <c r="B408" s="2" t="n">
        <v>46</v>
      </c>
      <c r="C408" s="2" t="s">
        <v>30</v>
      </c>
      <c r="D408" s="2" t="s">
        <v>15</v>
      </c>
      <c r="E408" s="2" t="s">
        <v>59</v>
      </c>
      <c r="F408" s="2" t="s">
        <v>85</v>
      </c>
      <c r="G408" s="2" t="s">
        <v>77</v>
      </c>
      <c r="H408" s="2" t="s">
        <v>962</v>
      </c>
      <c r="I408" s="2" t="s">
        <v>816</v>
      </c>
      <c r="J408" s="2" t="n">
        <v>6</v>
      </c>
      <c r="K408" s="2" t="n">
        <v>12009.44</v>
      </c>
      <c r="L408" s="2" t="s">
        <v>21</v>
      </c>
      <c r="M408" s="2" t="n">
        <v>3.6</v>
      </c>
    </row>
    <row r="409" customFormat="false" ht="15" hidden="false" customHeight="false" outlineLevel="0" collapsed="false">
      <c r="A409" s="2" t="s">
        <v>963</v>
      </c>
      <c r="B409" s="2" t="n">
        <v>47</v>
      </c>
      <c r="C409" s="2" t="s">
        <v>14</v>
      </c>
      <c r="D409" s="2" t="s">
        <v>23</v>
      </c>
      <c r="E409" s="2" t="s">
        <v>37</v>
      </c>
      <c r="F409" s="2" t="s">
        <v>173</v>
      </c>
      <c r="G409" s="2" t="s">
        <v>18</v>
      </c>
      <c r="H409" s="2" t="s">
        <v>332</v>
      </c>
      <c r="I409" s="2" t="s">
        <v>710</v>
      </c>
      <c r="J409" s="2" t="n">
        <v>5</v>
      </c>
      <c r="K409" s="2" t="n">
        <v>8462.37</v>
      </c>
      <c r="L409" s="2" t="s">
        <v>21</v>
      </c>
      <c r="M409" s="2" t="n">
        <v>3.9</v>
      </c>
    </row>
    <row r="410" customFormat="false" ht="15" hidden="false" customHeight="false" outlineLevel="0" collapsed="false">
      <c r="A410" s="2" t="s">
        <v>964</v>
      </c>
      <c r="B410" s="2" t="n">
        <v>60</v>
      </c>
      <c r="C410" s="2" t="s">
        <v>14</v>
      </c>
      <c r="D410" s="2" t="s">
        <v>52</v>
      </c>
      <c r="E410" s="2" t="s">
        <v>37</v>
      </c>
      <c r="F410" s="2" t="s">
        <v>38</v>
      </c>
      <c r="G410" s="2" t="s">
        <v>77</v>
      </c>
      <c r="H410" s="2" t="s">
        <v>498</v>
      </c>
      <c r="I410" s="2" t="s">
        <v>704</v>
      </c>
      <c r="J410" s="2" t="n">
        <v>6</v>
      </c>
      <c r="K410" s="2" t="n">
        <v>6563.47</v>
      </c>
      <c r="L410" s="2" t="s">
        <v>21</v>
      </c>
      <c r="M410" s="2" t="n">
        <v>3</v>
      </c>
    </row>
    <row r="411" customFormat="false" ht="15" hidden="false" customHeight="false" outlineLevel="0" collapsed="false">
      <c r="A411" s="2" t="s">
        <v>965</v>
      </c>
      <c r="B411" s="2" t="n">
        <v>49</v>
      </c>
      <c r="C411" s="2" t="s">
        <v>14</v>
      </c>
      <c r="D411" s="2" t="s">
        <v>64</v>
      </c>
      <c r="E411" s="2" t="s">
        <v>24</v>
      </c>
      <c r="F411" s="2" t="s">
        <v>147</v>
      </c>
      <c r="G411" s="2" t="s">
        <v>18</v>
      </c>
      <c r="H411" s="2" t="s">
        <v>966</v>
      </c>
      <c r="I411" s="2" t="s">
        <v>967</v>
      </c>
      <c r="J411" s="2" t="n">
        <v>3</v>
      </c>
      <c r="K411" s="2" t="n">
        <v>15698.99</v>
      </c>
      <c r="L411" s="2" t="s">
        <v>21</v>
      </c>
      <c r="M411" s="2" t="n">
        <v>4.4</v>
      </c>
    </row>
    <row r="412" customFormat="false" ht="15" hidden="false" customHeight="false" outlineLevel="0" collapsed="false">
      <c r="A412" s="2" t="s">
        <v>968</v>
      </c>
      <c r="B412" s="2" t="n">
        <v>84</v>
      </c>
      <c r="C412" s="2" t="s">
        <v>30</v>
      </c>
      <c r="D412" s="2" t="s">
        <v>23</v>
      </c>
      <c r="E412" s="2" t="s">
        <v>24</v>
      </c>
      <c r="F412" s="2" t="s">
        <v>25</v>
      </c>
      <c r="G412" s="2" t="s">
        <v>48</v>
      </c>
      <c r="H412" s="2" t="s">
        <v>884</v>
      </c>
      <c r="I412" s="2" t="s">
        <v>577</v>
      </c>
      <c r="J412" s="2" t="n">
        <v>12</v>
      </c>
      <c r="K412" s="2" t="n">
        <v>22952.39</v>
      </c>
      <c r="L412" s="2" t="s">
        <v>21</v>
      </c>
      <c r="M412" s="2" t="n">
        <v>1.7</v>
      </c>
    </row>
    <row r="413" customFormat="false" ht="15" hidden="false" customHeight="false" outlineLevel="0" collapsed="false">
      <c r="A413" s="2" t="s">
        <v>969</v>
      </c>
      <c r="B413" s="2" t="n">
        <v>78</v>
      </c>
      <c r="C413" s="2" t="s">
        <v>30</v>
      </c>
      <c r="D413" s="2" t="s">
        <v>64</v>
      </c>
      <c r="E413" s="2" t="s">
        <v>16</v>
      </c>
      <c r="F413" s="2" t="s">
        <v>32</v>
      </c>
      <c r="G413" s="2" t="s">
        <v>26</v>
      </c>
      <c r="H413" s="2" t="s">
        <v>661</v>
      </c>
      <c r="I413" s="2" t="s">
        <v>970</v>
      </c>
      <c r="J413" s="2" t="n">
        <v>5</v>
      </c>
      <c r="K413" s="2" t="n">
        <v>6635.46</v>
      </c>
      <c r="L413" s="2" t="s">
        <v>21</v>
      </c>
      <c r="M413" s="2" t="n">
        <v>3.3</v>
      </c>
    </row>
    <row r="414" customFormat="false" ht="15" hidden="false" customHeight="false" outlineLevel="0" collapsed="false">
      <c r="A414" s="2" t="s">
        <v>971</v>
      </c>
      <c r="B414" s="2" t="n">
        <v>61</v>
      </c>
      <c r="C414" s="2" t="s">
        <v>30</v>
      </c>
      <c r="D414" s="2" t="s">
        <v>23</v>
      </c>
      <c r="E414" s="2" t="s">
        <v>24</v>
      </c>
      <c r="F414" s="2" t="s">
        <v>25</v>
      </c>
      <c r="G414" s="2" t="s">
        <v>18</v>
      </c>
      <c r="H414" s="2" t="s">
        <v>972</v>
      </c>
      <c r="I414" s="2" t="s">
        <v>903</v>
      </c>
      <c r="J414" s="2" t="n">
        <v>7</v>
      </c>
      <c r="K414" s="2" t="n">
        <v>16718.36</v>
      </c>
      <c r="L414" s="2" t="s">
        <v>21</v>
      </c>
      <c r="M414" s="2" t="n">
        <v>3.7</v>
      </c>
    </row>
    <row r="415" customFormat="false" ht="15" hidden="false" customHeight="false" outlineLevel="0" collapsed="false">
      <c r="A415" s="2" t="s">
        <v>973</v>
      </c>
      <c r="B415" s="2" t="n">
        <v>82</v>
      </c>
      <c r="C415" s="2" t="s">
        <v>30</v>
      </c>
      <c r="D415" s="2" t="s">
        <v>64</v>
      </c>
      <c r="E415" s="2" t="s">
        <v>24</v>
      </c>
      <c r="F415" s="2" t="s">
        <v>25</v>
      </c>
      <c r="G415" s="2" t="s">
        <v>18</v>
      </c>
      <c r="H415" s="2" t="s">
        <v>618</v>
      </c>
      <c r="I415" s="2" t="s">
        <v>115</v>
      </c>
      <c r="J415" s="2" t="n">
        <v>11</v>
      </c>
      <c r="K415" s="2" t="n">
        <v>17046.81</v>
      </c>
      <c r="L415" s="2" t="s">
        <v>57</v>
      </c>
      <c r="M415" s="2" t="n">
        <v>2.1</v>
      </c>
    </row>
    <row r="416" customFormat="false" ht="15" hidden="false" customHeight="false" outlineLevel="0" collapsed="false">
      <c r="A416" s="2" t="s">
        <v>974</v>
      </c>
      <c r="B416" s="2" t="n">
        <v>29</v>
      </c>
      <c r="C416" s="2" t="s">
        <v>30</v>
      </c>
      <c r="D416" s="2" t="s">
        <v>64</v>
      </c>
      <c r="E416" s="2" t="s">
        <v>24</v>
      </c>
      <c r="F416" s="2" t="s">
        <v>25</v>
      </c>
      <c r="G416" s="2" t="s">
        <v>48</v>
      </c>
      <c r="H416" s="2" t="s">
        <v>702</v>
      </c>
      <c r="I416" s="2" t="s">
        <v>136</v>
      </c>
      <c r="J416" s="2" t="n">
        <v>6</v>
      </c>
      <c r="K416" s="2" t="n">
        <v>14551.21</v>
      </c>
      <c r="L416" s="2" t="s">
        <v>57</v>
      </c>
      <c r="M416" s="2" t="n">
        <v>3.8</v>
      </c>
    </row>
    <row r="417" customFormat="false" ht="15" hidden="false" customHeight="false" outlineLevel="0" collapsed="false">
      <c r="A417" s="2" t="s">
        <v>975</v>
      </c>
      <c r="B417" s="2" t="n">
        <v>85</v>
      </c>
      <c r="C417" s="2" t="s">
        <v>30</v>
      </c>
      <c r="D417" s="2" t="s">
        <v>64</v>
      </c>
      <c r="E417" s="2" t="s">
        <v>53</v>
      </c>
      <c r="F417" s="2" t="s">
        <v>253</v>
      </c>
      <c r="G417" s="2" t="s">
        <v>33</v>
      </c>
      <c r="H417" s="2" t="s">
        <v>244</v>
      </c>
      <c r="I417" s="2" t="s">
        <v>402</v>
      </c>
      <c r="J417" s="2" t="n">
        <v>4</v>
      </c>
      <c r="K417" s="2" t="n">
        <v>3483.89</v>
      </c>
      <c r="L417" s="2" t="s">
        <v>57</v>
      </c>
      <c r="M417" s="2" t="n">
        <v>2.9</v>
      </c>
    </row>
    <row r="418" customFormat="false" ht="15" hidden="false" customHeight="false" outlineLevel="0" collapsed="false">
      <c r="A418" s="2" t="s">
        <v>976</v>
      </c>
      <c r="B418" s="2" t="n">
        <v>50</v>
      </c>
      <c r="C418" s="2" t="s">
        <v>30</v>
      </c>
      <c r="D418" s="2" t="s">
        <v>64</v>
      </c>
      <c r="E418" s="2" t="s">
        <v>42</v>
      </c>
      <c r="F418" s="2" t="s">
        <v>81</v>
      </c>
      <c r="G418" s="2" t="s">
        <v>26</v>
      </c>
      <c r="H418" s="2" t="s">
        <v>977</v>
      </c>
      <c r="I418" s="2" t="s">
        <v>567</v>
      </c>
      <c r="J418" s="2" t="n">
        <v>4</v>
      </c>
      <c r="K418" s="2" t="n">
        <v>9175.91</v>
      </c>
      <c r="L418" s="2" t="s">
        <v>97</v>
      </c>
      <c r="M418" s="2" t="n">
        <v>3.8</v>
      </c>
    </row>
    <row r="419" customFormat="false" ht="15" hidden="false" customHeight="false" outlineLevel="0" collapsed="false">
      <c r="A419" s="2" t="s">
        <v>978</v>
      </c>
      <c r="B419" s="2" t="n">
        <v>18</v>
      </c>
      <c r="C419" s="2" t="s">
        <v>14</v>
      </c>
      <c r="D419" s="2" t="s">
        <v>23</v>
      </c>
      <c r="E419" s="2" t="s">
        <v>42</v>
      </c>
      <c r="F419" s="2" t="s">
        <v>108</v>
      </c>
      <c r="G419" s="2" t="s">
        <v>48</v>
      </c>
      <c r="H419" s="2" t="s">
        <v>349</v>
      </c>
      <c r="I419" s="2" t="s">
        <v>979</v>
      </c>
      <c r="J419" s="2" t="n">
        <v>3</v>
      </c>
      <c r="K419" s="2" t="n">
        <v>8330.46</v>
      </c>
      <c r="L419" s="2" t="s">
        <v>21</v>
      </c>
      <c r="M419" s="2" t="n">
        <v>4.2</v>
      </c>
    </row>
    <row r="420" customFormat="false" ht="15" hidden="false" customHeight="false" outlineLevel="0" collapsed="false">
      <c r="A420" s="2" t="s">
        <v>980</v>
      </c>
      <c r="B420" s="2" t="n">
        <v>50</v>
      </c>
      <c r="C420" s="2" t="s">
        <v>30</v>
      </c>
      <c r="D420" s="2" t="s">
        <v>23</v>
      </c>
      <c r="E420" s="2" t="s">
        <v>53</v>
      </c>
      <c r="F420" s="2" t="s">
        <v>54</v>
      </c>
      <c r="G420" s="2" t="s">
        <v>26</v>
      </c>
      <c r="H420" s="2" t="s">
        <v>292</v>
      </c>
      <c r="I420" s="2" t="s">
        <v>516</v>
      </c>
      <c r="J420" s="2" t="n">
        <v>4</v>
      </c>
      <c r="K420" s="2" t="n">
        <v>5443.35</v>
      </c>
      <c r="L420" s="2" t="s">
        <v>21</v>
      </c>
      <c r="M420" s="2" t="n">
        <v>3.6</v>
      </c>
    </row>
    <row r="421" customFormat="false" ht="15" hidden="false" customHeight="false" outlineLevel="0" collapsed="false">
      <c r="A421" s="2" t="s">
        <v>981</v>
      </c>
      <c r="B421" s="2" t="n">
        <v>88</v>
      </c>
      <c r="C421" s="2" t="s">
        <v>30</v>
      </c>
      <c r="D421" s="2" t="s">
        <v>64</v>
      </c>
      <c r="E421" s="2" t="s">
        <v>59</v>
      </c>
      <c r="F421" s="2" t="s">
        <v>85</v>
      </c>
      <c r="G421" s="2" t="s">
        <v>33</v>
      </c>
      <c r="H421" s="2" t="s">
        <v>248</v>
      </c>
      <c r="I421" s="2" t="s">
        <v>219</v>
      </c>
      <c r="J421" s="2" t="n">
        <v>4</v>
      </c>
      <c r="K421" s="2" t="n">
        <v>7300.17</v>
      </c>
      <c r="L421" s="2" t="s">
        <v>21</v>
      </c>
      <c r="M421" s="2" t="n">
        <v>4.5</v>
      </c>
    </row>
    <row r="422" customFormat="false" ht="15" hidden="false" customHeight="false" outlineLevel="0" collapsed="false">
      <c r="A422" s="2" t="s">
        <v>982</v>
      </c>
      <c r="B422" s="2" t="n">
        <v>33</v>
      </c>
      <c r="C422" s="2" t="s">
        <v>14</v>
      </c>
      <c r="D422" s="2" t="s">
        <v>52</v>
      </c>
      <c r="E422" s="2" t="s">
        <v>37</v>
      </c>
      <c r="F422" s="2" t="s">
        <v>151</v>
      </c>
      <c r="G422" s="2" t="s">
        <v>86</v>
      </c>
      <c r="H422" s="2" t="s">
        <v>907</v>
      </c>
      <c r="I422" s="2" t="s">
        <v>983</v>
      </c>
      <c r="J422" s="2" t="n">
        <v>7</v>
      </c>
      <c r="K422" s="2" t="n">
        <v>6370.81</v>
      </c>
      <c r="L422" s="2" t="s">
        <v>57</v>
      </c>
      <c r="M422" s="2" t="n">
        <v>3.4</v>
      </c>
    </row>
    <row r="423" customFormat="false" ht="15" hidden="false" customHeight="false" outlineLevel="0" collapsed="false">
      <c r="A423" s="2" t="s">
        <v>984</v>
      </c>
      <c r="B423" s="2" t="n">
        <v>24</v>
      </c>
      <c r="C423" s="2" t="s">
        <v>14</v>
      </c>
      <c r="D423" s="2" t="s">
        <v>52</v>
      </c>
      <c r="E423" s="2" t="s">
        <v>37</v>
      </c>
      <c r="F423" s="2" t="s">
        <v>158</v>
      </c>
      <c r="G423" s="2" t="s">
        <v>86</v>
      </c>
      <c r="H423" s="2" t="s">
        <v>301</v>
      </c>
      <c r="I423" s="2" t="s">
        <v>602</v>
      </c>
      <c r="J423" s="2" t="n">
        <v>1</v>
      </c>
      <c r="K423" s="2" t="n">
        <v>6163.77</v>
      </c>
      <c r="L423" s="2" t="s">
        <v>21</v>
      </c>
      <c r="M423" s="2" t="n">
        <v>3.7</v>
      </c>
    </row>
    <row r="424" customFormat="false" ht="15" hidden="false" customHeight="false" outlineLevel="0" collapsed="false">
      <c r="A424" s="2" t="s">
        <v>985</v>
      </c>
      <c r="B424" s="2" t="n">
        <v>22</v>
      </c>
      <c r="C424" s="2" t="s">
        <v>30</v>
      </c>
      <c r="D424" s="2" t="s">
        <v>52</v>
      </c>
      <c r="E424" s="2" t="s">
        <v>24</v>
      </c>
      <c r="F424" s="2" t="s">
        <v>372</v>
      </c>
      <c r="G424" s="2" t="s">
        <v>48</v>
      </c>
      <c r="H424" s="2" t="s">
        <v>511</v>
      </c>
      <c r="I424" s="2" t="s">
        <v>520</v>
      </c>
      <c r="J424" s="2" t="n">
        <v>9</v>
      </c>
      <c r="K424" s="2" t="n">
        <v>23437.57</v>
      </c>
      <c r="L424" s="2" t="s">
        <v>21</v>
      </c>
      <c r="M424" s="2" t="n">
        <v>3.8</v>
      </c>
    </row>
    <row r="425" customFormat="false" ht="15" hidden="false" customHeight="false" outlineLevel="0" collapsed="false">
      <c r="A425" s="2" t="s">
        <v>986</v>
      </c>
      <c r="B425" s="2" t="n">
        <v>81</v>
      </c>
      <c r="C425" s="2" t="s">
        <v>30</v>
      </c>
      <c r="D425" s="2" t="s">
        <v>31</v>
      </c>
      <c r="E425" s="2" t="s">
        <v>16</v>
      </c>
      <c r="F425" s="2" t="s">
        <v>47</v>
      </c>
      <c r="G425" s="2" t="s">
        <v>18</v>
      </c>
      <c r="H425" s="2" t="s">
        <v>583</v>
      </c>
      <c r="I425" s="2" t="s">
        <v>159</v>
      </c>
      <c r="J425" s="2" t="n">
        <v>5</v>
      </c>
      <c r="K425" s="2" t="n">
        <v>7517.69</v>
      </c>
      <c r="L425" s="2" t="s">
        <v>97</v>
      </c>
      <c r="M425" s="2" t="n">
        <v>2.8</v>
      </c>
    </row>
    <row r="426" customFormat="false" ht="15" hidden="false" customHeight="false" outlineLevel="0" collapsed="false">
      <c r="A426" s="2" t="s">
        <v>987</v>
      </c>
      <c r="B426" s="2" t="n">
        <v>64</v>
      </c>
      <c r="C426" s="2" t="s">
        <v>14</v>
      </c>
      <c r="D426" s="2" t="s">
        <v>31</v>
      </c>
      <c r="E426" s="2" t="s">
        <v>16</v>
      </c>
      <c r="F426" s="2" t="s">
        <v>90</v>
      </c>
      <c r="G426" s="2" t="s">
        <v>33</v>
      </c>
      <c r="H426" s="2" t="s">
        <v>368</v>
      </c>
      <c r="I426" s="2" t="s">
        <v>445</v>
      </c>
      <c r="J426" s="2" t="n">
        <v>2</v>
      </c>
      <c r="K426" s="2" t="n">
        <v>7128.46</v>
      </c>
      <c r="L426" s="2" t="s">
        <v>21</v>
      </c>
      <c r="M426" s="2" t="n">
        <v>4.3</v>
      </c>
    </row>
    <row r="427" customFormat="false" ht="15" hidden="false" customHeight="false" outlineLevel="0" collapsed="false">
      <c r="A427" s="2" t="s">
        <v>988</v>
      </c>
      <c r="B427" s="2" t="n">
        <v>84</v>
      </c>
      <c r="C427" s="2" t="s">
        <v>14</v>
      </c>
      <c r="D427" s="2" t="s">
        <v>31</v>
      </c>
      <c r="E427" s="2" t="s">
        <v>42</v>
      </c>
      <c r="F427" s="2" t="s">
        <v>81</v>
      </c>
      <c r="G427" s="2" t="s">
        <v>48</v>
      </c>
      <c r="H427" s="2" t="s">
        <v>423</v>
      </c>
      <c r="I427" s="2" t="s">
        <v>956</v>
      </c>
      <c r="J427" s="2" t="n">
        <v>7</v>
      </c>
      <c r="K427" s="2" t="n">
        <v>10499.57</v>
      </c>
      <c r="L427" s="2" t="s">
        <v>119</v>
      </c>
      <c r="M427" s="2"/>
    </row>
    <row r="428" customFormat="false" ht="15" hidden="false" customHeight="false" outlineLevel="0" collapsed="false">
      <c r="A428" s="2" t="s">
        <v>989</v>
      </c>
      <c r="B428" s="2" t="n">
        <v>53</v>
      </c>
      <c r="C428" s="2" t="s">
        <v>14</v>
      </c>
      <c r="D428" s="2" t="s">
        <v>23</v>
      </c>
      <c r="E428" s="2" t="s">
        <v>16</v>
      </c>
      <c r="F428" s="2" t="s">
        <v>32</v>
      </c>
      <c r="G428" s="2" t="s">
        <v>77</v>
      </c>
      <c r="H428" s="2" t="s">
        <v>990</v>
      </c>
      <c r="I428" s="2" t="s">
        <v>325</v>
      </c>
      <c r="J428" s="2" t="n">
        <v>5</v>
      </c>
      <c r="K428" s="2" t="n">
        <v>9226.1</v>
      </c>
      <c r="L428" s="2" t="s">
        <v>21</v>
      </c>
      <c r="M428" s="2" t="n">
        <v>2.8</v>
      </c>
    </row>
    <row r="429" customFormat="false" ht="15" hidden="false" customHeight="false" outlineLevel="0" collapsed="false">
      <c r="A429" s="2" t="s">
        <v>991</v>
      </c>
      <c r="B429" s="2" t="n">
        <v>61</v>
      </c>
      <c r="C429" s="2" t="s">
        <v>14</v>
      </c>
      <c r="D429" s="2" t="s">
        <v>23</v>
      </c>
      <c r="E429" s="2" t="s">
        <v>59</v>
      </c>
      <c r="F429" s="2" t="s">
        <v>202</v>
      </c>
      <c r="G429" s="2" t="s">
        <v>48</v>
      </c>
      <c r="H429" s="2" t="s">
        <v>992</v>
      </c>
      <c r="I429" s="2" t="s">
        <v>993</v>
      </c>
      <c r="J429" s="2" t="n">
        <v>5</v>
      </c>
      <c r="K429" s="2" t="n">
        <v>10510.69</v>
      </c>
      <c r="L429" s="2" t="s">
        <v>97</v>
      </c>
      <c r="M429" s="2" t="n">
        <v>3.4</v>
      </c>
    </row>
    <row r="430" customFormat="false" ht="15" hidden="false" customHeight="false" outlineLevel="0" collapsed="false">
      <c r="A430" s="2" t="s">
        <v>994</v>
      </c>
      <c r="B430" s="2" t="n">
        <v>61</v>
      </c>
      <c r="C430" s="2" t="s">
        <v>30</v>
      </c>
      <c r="D430" s="2" t="s">
        <v>52</v>
      </c>
      <c r="E430" s="2" t="s">
        <v>24</v>
      </c>
      <c r="F430" s="2" t="s">
        <v>25</v>
      </c>
      <c r="G430" s="2" t="s">
        <v>77</v>
      </c>
      <c r="H430" s="2" t="s">
        <v>646</v>
      </c>
      <c r="I430" s="2" t="s">
        <v>39</v>
      </c>
      <c r="J430" s="2" t="n">
        <v>8</v>
      </c>
      <c r="K430" s="2" t="n">
        <v>21143.04</v>
      </c>
      <c r="L430" s="2" t="s">
        <v>97</v>
      </c>
      <c r="M430" s="2" t="n">
        <v>3.6</v>
      </c>
    </row>
    <row r="431" customFormat="false" ht="15" hidden="false" customHeight="false" outlineLevel="0" collapsed="false">
      <c r="A431" s="2" t="s">
        <v>995</v>
      </c>
      <c r="B431" s="2" t="n">
        <v>58</v>
      </c>
      <c r="C431" s="2" t="s">
        <v>30</v>
      </c>
      <c r="D431" s="2" t="s">
        <v>15</v>
      </c>
      <c r="E431" s="2" t="s">
        <v>24</v>
      </c>
      <c r="F431" s="2" t="s">
        <v>25</v>
      </c>
      <c r="G431" s="2" t="s">
        <v>48</v>
      </c>
      <c r="H431" s="2" t="s">
        <v>800</v>
      </c>
      <c r="I431" s="2" t="s">
        <v>595</v>
      </c>
      <c r="J431" s="2" t="n">
        <v>11</v>
      </c>
      <c r="K431" s="2" t="n">
        <v>19414.51</v>
      </c>
      <c r="L431" s="2" t="s">
        <v>21</v>
      </c>
      <c r="M431" s="2" t="n">
        <v>3.6</v>
      </c>
    </row>
    <row r="432" customFormat="false" ht="15" hidden="false" customHeight="false" outlineLevel="0" collapsed="false">
      <c r="A432" s="2" t="s">
        <v>996</v>
      </c>
      <c r="B432" s="2" t="n">
        <v>61</v>
      </c>
      <c r="C432" s="2" t="s">
        <v>14</v>
      </c>
      <c r="D432" s="2" t="s">
        <v>23</v>
      </c>
      <c r="E432" s="2" t="s">
        <v>16</v>
      </c>
      <c r="F432" s="2" t="s">
        <v>32</v>
      </c>
      <c r="G432" s="2" t="s">
        <v>33</v>
      </c>
      <c r="H432" s="2" t="s">
        <v>534</v>
      </c>
      <c r="I432" s="2" t="s">
        <v>997</v>
      </c>
      <c r="J432" s="2" t="n">
        <v>4</v>
      </c>
      <c r="K432" s="2" t="n">
        <v>10643.89</v>
      </c>
      <c r="L432" s="2" t="s">
        <v>21</v>
      </c>
      <c r="M432" s="2" t="n">
        <v>3.6</v>
      </c>
    </row>
    <row r="433" customFormat="false" ht="15" hidden="false" customHeight="false" outlineLevel="0" collapsed="false">
      <c r="A433" s="2" t="s">
        <v>998</v>
      </c>
      <c r="B433" s="2" t="n">
        <v>42</v>
      </c>
      <c r="C433" s="2" t="s">
        <v>30</v>
      </c>
      <c r="D433" s="2" t="s">
        <v>64</v>
      </c>
      <c r="E433" s="2" t="s">
        <v>16</v>
      </c>
      <c r="F433" s="2" t="s">
        <v>17</v>
      </c>
      <c r="G433" s="2" t="s">
        <v>33</v>
      </c>
      <c r="H433" s="2" t="s">
        <v>28</v>
      </c>
      <c r="I433" s="2" t="s">
        <v>794</v>
      </c>
      <c r="J433" s="2" t="n">
        <v>1</v>
      </c>
      <c r="K433" s="2" t="n">
        <v>7956.07</v>
      </c>
      <c r="L433" s="2" t="s">
        <v>57</v>
      </c>
      <c r="M433" s="2" t="n">
        <v>5</v>
      </c>
    </row>
    <row r="434" customFormat="false" ht="15" hidden="false" customHeight="false" outlineLevel="0" collapsed="false">
      <c r="A434" s="2" t="s">
        <v>999</v>
      </c>
      <c r="B434" s="2" t="n">
        <v>63</v>
      </c>
      <c r="C434" s="2" t="s">
        <v>14</v>
      </c>
      <c r="D434" s="2" t="s">
        <v>31</v>
      </c>
      <c r="E434" s="2" t="s">
        <v>42</v>
      </c>
      <c r="F434" s="2" t="s">
        <v>69</v>
      </c>
      <c r="G434" s="2" t="s">
        <v>48</v>
      </c>
      <c r="H434" s="2" t="s">
        <v>1000</v>
      </c>
      <c r="I434" s="2" t="s">
        <v>779</v>
      </c>
      <c r="J434" s="2" t="n">
        <v>5</v>
      </c>
      <c r="K434" s="2" t="n">
        <v>10509.03</v>
      </c>
      <c r="L434" s="2" t="s">
        <v>57</v>
      </c>
      <c r="M434" s="2" t="n">
        <v>4.9</v>
      </c>
    </row>
    <row r="435" customFormat="false" ht="15" hidden="false" customHeight="false" outlineLevel="0" collapsed="false">
      <c r="A435" s="2" t="s">
        <v>1001</v>
      </c>
      <c r="B435" s="2" t="n">
        <v>65</v>
      </c>
      <c r="C435" s="2" t="s">
        <v>30</v>
      </c>
      <c r="D435" s="2" t="s">
        <v>52</v>
      </c>
      <c r="E435" s="2" t="s">
        <v>24</v>
      </c>
      <c r="F435" s="2" t="s">
        <v>372</v>
      </c>
      <c r="G435" s="2" t="s">
        <v>77</v>
      </c>
      <c r="H435" s="2" t="s">
        <v>1002</v>
      </c>
      <c r="I435" s="2" t="s">
        <v>1003</v>
      </c>
      <c r="J435" s="2" t="n">
        <v>7</v>
      </c>
      <c r="K435" s="2" t="n">
        <v>24445.23</v>
      </c>
      <c r="L435" s="2" t="s">
        <v>21</v>
      </c>
      <c r="M435" s="2" t="n">
        <v>3.3</v>
      </c>
    </row>
    <row r="436" customFormat="false" ht="15" hidden="false" customHeight="false" outlineLevel="0" collapsed="false">
      <c r="A436" s="2" t="s">
        <v>1004</v>
      </c>
      <c r="B436" s="2" t="n">
        <v>46</v>
      </c>
      <c r="C436" s="2" t="s">
        <v>14</v>
      </c>
      <c r="D436" s="2" t="s">
        <v>31</v>
      </c>
      <c r="E436" s="2" t="s">
        <v>24</v>
      </c>
      <c r="F436" s="2" t="s">
        <v>94</v>
      </c>
      <c r="G436" s="2" t="s">
        <v>77</v>
      </c>
      <c r="H436" s="2" t="s">
        <v>751</v>
      </c>
      <c r="I436" s="2" t="s">
        <v>1005</v>
      </c>
      <c r="J436" s="2" t="n">
        <v>9</v>
      </c>
      <c r="K436" s="2" t="n">
        <v>19163.02</v>
      </c>
      <c r="L436" s="2" t="s">
        <v>57</v>
      </c>
      <c r="M436" s="2" t="n">
        <v>3.5</v>
      </c>
    </row>
    <row r="437" customFormat="false" ht="15" hidden="false" customHeight="false" outlineLevel="0" collapsed="false">
      <c r="A437" s="2" t="s">
        <v>1006</v>
      </c>
      <c r="B437" s="2" t="n">
        <v>33</v>
      </c>
      <c r="C437" s="2" t="s">
        <v>30</v>
      </c>
      <c r="D437" s="2" t="s">
        <v>15</v>
      </c>
      <c r="E437" s="2" t="s">
        <v>37</v>
      </c>
      <c r="F437" s="2" t="s">
        <v>158</v>
      </c>
      <c r="G437" s="2" t="s">
        <v>86</v>
      </c>
      <c r="H437" s="2" t="s">
        <v>1007</v>
      </c>
      <c r="I437" s="2" t="s">
        <v>692</v>
      </c>
      <c r="J437" s="2" t="n">
        <v>2</v>
      </c>
      <c r="K437" s="2" t="n">
        <v>6654.18</v>
      </c>
      <c r="L437" s="2" t="s">
        <v>21</v>
      </c>
      <c r="M437" s="2" t="n">
        <v>4.6</v>
      </c>
    </row>
    <row r="438" customFormat="false" ht="15" hidden="false" customHeight="false" outlineLevel="0" collapsed="false">
      <c r="A438" s="2" t="s">
        <v>1008</v>
      </c>
      <c r="B438" s="2" t="n">
        <v>51</v>
      </c>
      <c r="C438" s="2" t="s">
        <v>14</v>
      </c>
      <c r="D438" s="2" t="s">
        <v>23</v>
      </c>
      <c r="E438" s="2" t="s">
        <v>59</v>
      </c>
      <c r="F438" s="2" t="s">
        <v>65</v>
      </c>
      <c r="G438" s="2" t="s">
        <v>33</v>
      </c>
      <c r="H438" s="2" t="s">
        <v>1009</v>
      </c>
      <c r="I438" s="2" t="s">
        <v>1010</v>
      </c>
      <c r="J438" s="2" t="n">
        <v>7</v>
      </c>
      <c r="K438" s="2" t="n">
        <v>9278.77</v>
      </c>
      <c r="L438" s="2" t="s">
        <v>21</v>
      </c>
      <c r="M438" s="2" t="n">
        <v>2.8</v>
      </c>
    </row>
    <row r="439" customFormat="false" ht="15" hidden="false" customHeight="false" outlineLevel="0" collapsed="false">
      <c r="A439" s="2" t="s">
        <v>1011</v>
      </c>
      <c r="B439" s="2" t="n">
        <v>65</v>
      </c>
      <c r="C439" s="2" t="s">
        <v>30</v>
      </c>
      <c r="D439" s="2" t="s">
        <v>52</v>
      </c>
      <c r="E439" s="2" t="s">
        <v>59</v>
      </c>
      <c r="F439" s="2" t="s">
        <v>85</v>
      </c>
      <c r="G439" s="2" t="s">
        <v>18</v>
      </c>
      <c r="H439" s="2" t="s">
        <v>415</v>
      </c>
      <c r="I439" s="2" t="s">
        <v>254</v>
      </c>
      <c r="J439" s="2" t="n">
        <v>7</v>
      </c>
      <c r="K439" s="2" t="n">
        <v>10810.06</v>
      </c>
      <c r="L439" s="2" t="s">
        <v>21</v>
      </c>
      <c r="M439" s="2" t="n">
        <v>4.1</v>
      </c>
    </row>
    <row r="440" customFormat="false" ht="15" hidden="false" customHeight="false" outlineLevel="0" collapsed="false">
      <c r="A440" s="2" t="s">
        <v>1012</v>
      </c>
      <c r="B440" s="2" t="n">
        <v>30</v>
      </c>
      <c r="C440" s="2" t="s">
        <v>30</v>
      </c>
      <c r="D440" s="2" t="s">
        <v>64</v>
      </c>
      <c r="E440" s="2" t="s">
        <v>24</v>
      </c>
      <c r="F440" s="2" t="s">
        <v>94</v>
      </c>
      <c r="G440" s="2" t="s">
        <v>77</v>
      </c>
      <c r="H440" s="2" t="s">
        <v>848</v>
      </c>
      <c r="I440" s="2" t="s">
        <v>349</v>
      </c>
      <c r="J440" s="2" t="n">
        <v>10</v>
      </c>
      <c r="K440" s="2" t="n">
        <v>25019.36</v>
      </c>
      <c r="L440" s="2" t="s">
        <v>21</v>
      </c>
      <c r="M440" s="2" t="n">
        <v>3.4</v>
      </c>
    </row>
    <row r="441" customFormat="false" ht="15" hidden="false" customHeight="false" outlineLevel="0" collapsed="false">
      <c r="A441" s="2" t="s">
        <v>1013</v>
      </c>
      <c r="B441" s="2" t="n">
        <v>81</v>
      </c>
      <c r="C441" s="2" t="s">
        <v>14</v>
      </c>
      <c r="D441" s="2" t="s">
        <v>23</v>
      </c>
      <c r="E441" s="2" t="s">
        <v>24</v>
      </c>
      <c r="F441" s="2" t="s">
        <v>372</v>
      </c>
      <c r="G441" s="2" t="s">
        <v>77</v>
      </c>
      <c r="H441" s="2" t="s">
        <v>429</v>
      </c>
      <c r="I441" s="2" t="s">
        <v>248</v>
      </c>
      <c r="J441" s="2" t="n">
        <v>7</v>
      </c>
      <c r="K441" s="2" t="n">
        <v>17763.69</v>
      </c>
      <c r="L441" s="2" t="s">
        <v>21</v>
      </c>
      <c r="M441" s="2" t="n">
        <v>4.8</v>
      </c>
    </row>
    <row r="442" customFormat="false" ht="15" hidden="false" customHeight="false" outlineLevel="0" collapsed="false">
      <c r="A442" s="2" t="s">
        <v>1014</v>
      </c>
      <c r="B442" s="2" t="n">
        <v>30</v>
      </c>
      <c r="C442" s="2" t="s">
        <v>14</v>
      </c>
      <c r="D442" s="2" t="s">
        <v>31</v>
      </c>
      <c r="E442" s="2" t="s">
        <v>16</v>
      </c>
      <c r="F442" s="2" t="s">
        <v>47</v>
      </c>
      <c r="G442" s="2" t="s">
        <v>77</v>
      </c>
      <c r="H442" s="2" t="s">
        <v>966</v>
      </c>
      <c r="I442" s="2" t="s">
        <v>411</v>
      </c>
      <c r="J442" s="2" t="n">
        <v>6</v>
      </c>
      <c r="K442" s="2" t="n">
        <v>10953.35</v>
      </c>
      <c r="L442" s="2" t="s">
        <v>21</v>
      </c>
      <c r="M442" s="2" t="n">
        <v>2.9</v>
      </c>
    </row>
    <row r="443" customFormat="false" ht="15" hidden="false" customHeight="false" outlineLevel="0" collapsed="false">
      <c r="A443" s="2" t="s">
        <v>1015</v>
      </c>
      <c r="B443" s="2" t="n">
        <v>50</v>
      </c>
      <c r="C443" s="2" t="s">
        <v>30</v>
      </c>
      <c r="D443" s="2" t="s">
        <v>31</v>
      </c>
      <c r="E443" s="2" t="s">
        <v>53</v>
      </c>
      <c r="F443" s="2" t="s">
        <v>154</v>
      </c>
      <c r="G443" s="2" t="s">
        <v>33</v>
      </c>
      <c r="H443" s="2" t="s">
        <v>1016</v>
      </c>
      <c r="I443" s="2" t="s">
        <v>565</v>
      </c>
      <c r="J443" s="2" t="n">
        <v>3</v>
      </c>
      <c r="K443" s="2" t="n">
        <v>4814.91</v>
      </c>
      <c r="L443" s="2" t="s">
        <v>21</v>
      </c>
      <c r="M443" s="2" t="n">
        <v>3.5</v>
      </c>
    </row>
    <row r="444" customFormat="false" ht="15" hidden="false" customHeight="false" outlineLevel="0" collapsed="false">
      <c r="A444" s="2" t="s">
        <v>1017</v>
      </c>
      <c r="B444" s="2" t="n">
        <v>86</v>
      </c>
      <c r="C444" s="2" t="s">
        <v>14</v>
      </c>
      <c r="D444" s="2" t="s">
        <v>15</v>
      </c>
      <c r="E444" s="2" t="s">
        <v>59</v>
      </c>
      <c r="F444" s="2" t="s">
        <v>202</v>
      </c>
      <c r="G444" s="2" t="s">
        <v>48</v>
      </c>
      <c r="H444" s="2" t="s">
        <v>404</v>
      </c>
      <c r="I444" s="2" t="s">
        <v>405</v>
      </c>
      <c r="J444" s="2" t="n">
        <v>3</v>
      </c>
      <c r="K444" s="2" t="n">
        <v>8174.37</v>
      </c>
      <c r="L444" s="2" t="s">
        <v>57</v>
      </c>
      <c r="M444" s="2" t="n">
        <v>3.2</v>
      </c>
    </row>
    <row r="445" customFormat="false" ht="15" hidden="false" customHeight="false" outlineLevel="0" collapsed="false">
      <c r="A445" s="2" t="s">
        <v>1018</v>
      </c>
      <c r="B445" s="2" t="n">
        <v>36</v>
      </c>
      <c r="C445" s="2" t="s">
        <v>14</v>
      </c>
      <c r="D445" s="2" t="s">
        <v>15</v>
      </c>
      <c r="E445" s="2" t="s">
        <v>53</v>
      </c>
      <c r="F445" s="2" t="s">
        <v>253</v>
      </c>
      <c r="G445" s="2" t="s">
        <v>86</v>
      </c>
      <c r="H445" s="2" t="s">
        <v>44</v>
      </c>
      <c r="I445" s="2" t="s">
        <v>127</v>
      </c>
      <c r="J445" s="2" t="n">
        <v>2</v>
      </c>
      <c r="K445" s="2" t="n">
        <v>4241.93</v>
      </c>
      <c r="L445" s="2" t="s">
        <v>21</v>
      </c>
      <c r="M445" s="2" t="n">
        <v>4.1</v>
      </c>
    </row>
    <row r="446" customFormat="false" ht="15" hidden="false" customHeight="false" outlineLevel="0" collapsed="false">
      <c r="A446" s="2" t="s">
        <v>1019</v>
      </c>
      <c r="B446" s="2" t="n">
        <v>55</v>
      </c>
      <c r="C446" s="2" t="s">
        <v>30</v>
      </c>
      <c r="D446" s="2" t="s">
        <v>23</v>
      </c>
      <c r="E446" s="2" t="s">
        <v>37</v>
      </c>
      <c r="F446" s="2" t="s">
        <v>38</v>
      </c>
      <c r="G446" s="2" t="s">
        <v>33</v>
      </c>
      <c r="H446" s="2" t="s">
        <v>632</v>
      </c>
      <c r="I446" s="2" t="s">
        <v>1020</v>
      </c>
      <c r="J446" s="2" t="n">
        <v>6</v>
      </c>
      <c r="K446" s="2" t="n">
        <v>5349.21</v>
      </c>
      <c r="L446" s="2" t="s">
        <v>97</v>
      </c>
      <c r="M446" s="2" t="n">
        <v>2.7</v>
      </c>
    </row>
    <row r="447" customFormat="false" ht="15" hidden="false" customHeight="false" outlineLevel="0" collapsed="false">
      <c r="A447" s="2" t="s">
        <v>1021</v>
      </c>
      <c r="B447" s="2" t="n">
        <v>39</v>
      </c>
      <c r="C447" s="2" t="s">
        <v>14</v>
      </c>
      <c r="D447" s="2" t="s">
        <v>31</v>
      </c>
      <c r="E447" s="2" t="s">
        <v>16</v>
      </c>
      <c r="F447" s="2" t="s">
        <v>17</v>
      </c>
      <c r="G447" s="2" t="s">
        <v>48</v>
      </c>
      <c r="H447" s="2" t="s">
        <v>914</v>
      </c>
      <c r="I447" s="2" t="s">
        <v>825</v>
      </c>
      <c r="J447" s="2" t="n">
        <v>3</v>
      </c>
      <c r="K447" s="2" t="n">
        <v>10481.87</v>
      </c>
      <c r="L447" s="2" t="s">
        <v>21</v>
      </c>
      <c r="M447" s="2" t="n">
        <v>3.3</v>
      </c>
    </row>
    <row r="448" customFormat="false" ht="15" hidden="false" customHeight="false" outlineLevel="0" collapsed="false">
      <c r="A448" s="2" t="s">
        <v>1022</v>
      </c>
      <c r="B448" s="2" t="n">
        <v>39</v>
      </c>
      <c r="C448" s="2" t="s">
        <v>30</v>
      </c>
      <c r="D448" s="2" t="s">
        <v>31</v>
      </c>
      <c r="E448" s="2" t="s">
        <v>42</v>
      </c>
      <c r="F448" s="2" t="s">
        <v>69</v>
      </c>
      <c r="G448" s="2" t="s">
        <v>77</v>
      </c>
      <c r="H448" s="2" t="s">
        <v>1023</v>
      </c>
      <c r="I448" s="2" t="s">
        <v>1024</v>
      </c>
      <c r="J448" s="2" t="n">
        <v>7</v>
      </c>
      <c r="K448" s="2" t="n">
        <v>12268.35</v>
      </c>
      <c r="L448" s="2" t="s">
        <v>21</v>
      </c>
      <c r="M448" s="2" t="n">
        <v>3.8</v>
      </c>
    </row>
    <row r="449" customFormat="false" ht="15" hidden="false" customHeight="false" outlineLevel="0" collapsed="false">
      <c r="A449" s="2" t="s">
        <v>1025</v>
      </c>
      <c r="B449" s="2" t="n">
        <v>37</v>
      </c>
      <c r="C449" s="2" t="s">
        <v>14</v>
      </c>
      <c r="D449" s="2" t="s">
        <v>52</v>
      </c>
      <c r="E449" s="2" t="s">
        <v>59</v>
      </c>
      <c r="F449" s="2" t="s">
        <v>65</v>
      </c>
      <c r="G449" s="2" t="s">
        <v>18</v>
      </c>
      <c r="H449" s="2" t="s">
        <v>1026</v>
      </c>
      <c r="I449" s="2" t="s">
        <v>1027</v>
      </c>
      <c r="J449" s="2" t="n">
        <v>5</v>
      </c>
      <c r="K449" s="2" t="n">
        <v>8137.55</v>
      </c>
      <c r="L449" s="2" t="s">
        <v>21</v>
      </c>
      <c r="M449" s="2" t="n">
        <v>3.7</v>
      </c>
    </row>
    <row r="450" customFormat="false" ht="15" hidden="false" customHeight="false" outlineLevel="0" collapsed="false">
      <c r="A450" s="2" t="s">
        <v>1028</v>
      </c>
      <c r="B450" s="2" t="n">
        <v>39</v>
      </c>
      <c r="C450" s="2" t="s">
        <v>14</v>
      </c>
      <c r="D450" s="2" t="s">
        <v>31</v>
      </c>
      <c r="E450" s="2" t="s">
        <v>37</v>
      </c>
      <c r="F450" s="2" t="s">
        <v>173</v>
      </c>
      <c r="G450" s="2" t="s">
        <v>33</v>
      </c>
      <c r="H450" s="2" t="s">
        <v>618</v>
      </c>
      <c r="I450" s="2" t="s">
        <v>619</v>
      </c>
      <c r="J450" s="2" t="n">
        <v>1</v>
      </c>
      <c r="K450" s="2" t="n">
        <v>6355.56</v>
      </c>
      <c r="L450" s="2" t="s">
        <v>57</v>
      </c>
      <c r="M450" s="2" t="n">
        <v>3.4</v>
      </c>
    </row>
    <row r="451" customFormat="false" ht="15" hidden="false" customHeight="false" outlineLevel="0" collapsed="false">
      <c r="A451" s="2" t="s">
        <v>1029</v>
      </c>
      <c r="B451" s="2" t="n">
        <v>87</v>
      </c>
      <c r="C451" s="2" t="s">
        <v>14</v>
      </c>
      <c r="D451" s="2" t="s">
        <v>23</v>
      </c>
      <c r="E451" s="2" t="s">
        <v>24</v>
      </c>
      <c r="F451" s="2" t="s">
        <v>94</v>
      </c>
      <c r="G451" s="2" t="s">
        <v>48</v>
      </c>
      <c r="H451" s="2" t="s">
        <v>322</v>
      </c>
      <c r="I451" s="2" t="s">
        <v>589</v>
      </c>
      <c r="J451" s="2" t="n">
        <v>8</v>
      </c>
      <c r="K451" s="2" t="n">
        <v>20499.15</v>
      </c>
      <c r="L451" s="2" t="s">
        <v>21</v>
      </c>
      <c r="M451" s="2" t="n">
        <v>2.9</v>
      </c>
    </row>
    <row r="452" customFormat="false" ht="15" hidden="false" customHeight="false" outlineLevel="0" collapsed="false">
      <c r="A452" s="2" t="s">
        <v>1030</v>
      </c>
      <c r="B452" s="2" t="n">
        <v>86</v>
      </c>
      <c r="C452" s="2" t="s">
        <v>30</v>
      </c>
      <c r="D452" s="2" t="s">
        <v>15</v>
      </c>
      <c r="E452" s="2" t="s">
        <v>53</v>
      </c>
      <c r="F452" s="2" t="s">
        <v>76</v>
      </c>
      <c r="G452" s="2" t="s">
        <v>86</v>
      </c>
      <c r="H452" s="2" t="s">
        <v>1031</v>
      </c>
      <c r="I452" s="2" t="s">
        <v>1032</v>
      </c>
      <c r="J452" s="2" t="n">
        <v>2</v>
      </c>
      <c r="K452" s="2" t="n">
        <v>4616.64</v>
      </c>
      <c r="L452" s="2" t="s">
        <v>21</v>
      </c>
      <c r="M452" s="2" t="n">
        <v>4.6</v>
      </c>
    </row>
    <row r="453" customFormat="false" ht="15" hidden="false" customHeight="false" outlineLevel="0" collapsed="false">
      <c r="A453" s="2" t="s">
        <v>1033</v>
      </c>
      <c r="B453" s="2" t="n">
        <v>35</v>
      </c>
      <c r="C453" s="2" t="s">
        <v>30</v>
      </c>
      <c r="D453" s="2" t="s">
        <v>15</v>
      </c>
      <c r="E453" s="2" t="s">
        <v>53</v>
      </c>
      <c r="F453" s="2" t="s">
        <v>154</v>
      </c>
      <c r="G453" s="2" t="s">
        <v>48</v>
      </c>
      <c r="H453" s="2" t="s">
        <v>92</v>
      </c>
      <c r="I453" s="2" t="s">
        <v>1034</v>
      </c>
      <c r="J453" s="2" t="n">
        <v>1</v>
      </c>
      <c r="K453" s="2" t="n">
        <v>4288.66</v>
      </c>
      <c r="L453" s="2" t="s">
        <v>21</v>
      </c>
      <c r="M453" s="2" t="n">
        <v>3.5</v>
      </c>
    </row>
    <row r="454" customFormat="false" ht="15" hidden="false" customHeight="false" outlineLevel="0" collapsed="false">
      <c r="A454" s="2" t="s">
        <v>1035</v>
      </c>
      <c r="B454" s="2" t="n">
        <v>73</v>
      </c>
      <c r="C454" s="2" t="s">
        <v>30</v>
      </c>
      <c r="D454" s="2" t="s">
        <v>23</v>
      </c>
      <c r="E454" s="2" t="s">
        <v>16</v>
      </c>
      <c r="F454" s="2" t="s">
        <v>90</v>
      </c>
      <c r="G454" s="2" t="s">
        <v>26</v>
      </c>
      <c r="H454" s="2" t="s">
        <v>695</v>
      </c>
      <c r="I454" s="2" t="s">
        <v>828</v>
      </c>
      <c r="J454" s="2" t="n">
        <v>6</v>
      </c>
      <c r="K454" s="2" t="n">
        <v>12358.93</v>
      </c>
      <c r="L454" s="2" t="s">
        <v>21</v>
      </c>
      <c r="M454" s="2" t="n">
        <v>3.5</v>
      </c>
    </row>
    <row r="455" customFormat="false" ht="15" hidden="false" customHeight="false" outlineLevel="0" collapsed="false">
      <c r="A455" s="2" t="s">
        <v>1036</v>
      </c>
      <c r="B455" s="2" t="n">
        <v>67</v>
      </c>
      <c r="C455" s="2" t="s">
        <v>30</v>
      </c>
      <c r="D455" s="2" t="s">
        <v>64</v>
      </c>
      <c r="E455" s="2" t="s">
        <v>59</v>
      </c>
      <c r="F455" s="2" t="s">
        <v>60</v>
      </c>
      <c r="G455" s="2" t="s">
        <v>77</v>
      </c>
      <c r="H455" s="2" t="s">
        <v>263</v>
      </c>
      <c r="I455" s="2" t="s">
        <v>851</v>
      </c>
      <c r="J455" s="2" t="n">
        <v>9</v>
      </c>
      <c r="K455" s="2" t="n">
        <v>10551.59</v>
      </c>
      <c r="L455" s="2" t="s">
        <v>57</v>
      </c>
      <c r="M455" s="2" t="n">
        <v>4.5</v>
      </c>
    </row>
    <row r="456" customFormat="false" ht="15" hidden="false" customHeight="false" outlineLevel="0" collapsed="false">
      <c r="A456" s="2" t="s">
        <v>1037</v>
      </c>
      <c r="B456" s="2" t="n">
        <v>52</v>
      </c>
      <c r="C456" s="2" t="s">
        <v>30</v>
      </c>
      <c r="D456" s="2" t="s">
        <v>23</v>
      </c>
      <c r="E456" s="2" t="s">
        <v>59</v>
      </c>
      <c r="F456" s="2" t="s">
        <v>85</v>
      </c>
      <c r="G456" s="2" t="s">
        <v>18</v>
      </c>
      <c r="H456" s="2" t="s">
        <v>124</v>
      </c>
      <c r="I456" s="2" t="s">
        <v>1038</v>
      </c>
      <c r="J456" s="2" t="n">
        <v>6</v>
      </c>
      <c r="K456" s="2" t="n">
        <v>10224.74</v>
      </c>
      <c r="L456" s="2" t="s">
        <v>21</v>
      </c>
      <c r="M456" s="2" t="n">
        <v>3.1</v>
      </c>
    </row>
    <row r="457" customFormat="false" ht="15" hidden="false" customHeight="false" outlineLevel="0" collapsed="false">
      <c r="A457" s="2" t="s">
        <v>1039</v>
      </c>
      <c r="B457" s="2" t="n">
        <v>80</v>
      </c>
      <c r="C457" s="2" t="s">
        <v>14</v>
      </c>
      <c r="D457" s="2" t="s">
        <v>15</v>
      </c>
      <c r="E457" s="2" t="s">
        <v>42</v>
      </c>
      <c r="F457" s="2" t="s">
        <v>43</v>
      </c>
      <c r="G457" s="2" t="s">
        <v>86</v>
      </c>
      <c r="H457" s="2" t="s">
        <v>384</v>
      </c>
      <c r="I457" s="2" t="s">
        <v>767</v>
      </c>
      <c r="J457" s="2" t="n">
        <v>4</v>
      </c>
      <c r="K457" s="2" t="n">
        <v>14609.7</v>
      </c>
      <c r="L457" s="2" t="s">
        <v>21</v>
      </c>
      <c r="M457" s="2" t="n">
        <v>3.9</v>
      </c>
    </row>
    <row r="458" customFormat="false" ht="15" hidden="false" customHeight="false" outlineLevel="0" collapsed="false">
      <c r="A458" s="2" t="s">
        <v>1040</v>
      </c>
      <c r="B458" s="2" t="n">
        <v>34</v>
      </c>
      <c r="C458" s="2" t="s">
        <v>30</v>
      </c>
      <c r="D458" s="2" t="s">
        <v>31</v>
      </c>
      <c r="E458" s="2" t="s">
        <v>16</v>
      </c>
      <c r="F458" s="2" t="s">
        <v>90</v>
      </c>
      <c r="G458" s="2" t="s">
        <v>18</v>
      </c>
      <c r="H458" s="2" t="s">
        <v>320</v>
      </c>
      <c r="I458" s="2" t="s">
        <v>734</v>
      </c>
      <c r="J458" s="2" t="n">
        <v>1</v>
      </c>
      <c r="K458" s="2" t="n">
        <v>7653.13</v>
      </c>
      <c r="L458" s="2" t="s">
        <v>21</v>
      </c>
      <c r="M458" s="2" t="n">
        <v>4.5</v>
      </c>
    </row>
    <row r="459" customFormat="false" ht="15" hidden="false" customHeight="false" outlineLevel="0" collapsed="false">
      <c r="A459" s="2" t="s">
        <v>1041</v>
      </c>
      <c r="B459" s="2" t="n">
        <v>77</v>
      </c>
      <c r="C459" s="2" t="s">
        <v>14</v>
      </c>
      <c r="D459" s="2" t="s">
        <v>15</v>
      </c>
      <c r="E459" s="2" t="s">
        <v>42</v>
      </c>
      <c r="F459" s="2" t="s">
        <v>43</v>
      </c>
      <c r="G459" s="2" t="s">
        <v>86</v>
      </c>
      <c r="H459" s="2" t="s">
        <v>1042</v>
      </c>
      <c r="I459" s="2" t="s">
        <v>918</v>
      </c>
      <c r="J459" s="2" t="n">
        <v>1</v>
      </c>
      <c r="K459" s="2" t="n">
        <v>9005</v>
      </c>
      <c r="L459" s="2" t="s">
        <v>21</v>
      </c>
      <c r="M459" s="2" t="n">
        <v>3.5</v>
      </c>
    </row>
    <row r="460" customFormat="false" ht="15" hidden="false" customHeight="false" outlineLevel="0" collapsed="false">
      <c r="A460" s="2" t="s">
        <v>1043</v>
      </c>
      <c r="B460" s="2" t="n">
        <v>42</v>
      </c>
      <c r="C460" s="2" t="s">
        <v>30</v>
      </c>
      <c r="D460" s="2" t="s">
        <v>52</v>
      </c>
      <c r="E460" s="2" t="s">
        <v>42</v>
      </c>
      <c r="F460" s="2" t="s">
        <v>69</v>
      </c>
      <c r="G460" s="2" t="s">
        <v>48</v>
      </c>
      <c r="H460" s="2" t="s">
        <v>231</v>
      </c>
      <c r="I460" s="2" t="s">
        <v>824</v>
      </c>
      <c r="J460" s="2" t="n">
        <v>1</v>
      </c>
      <c r="K460" s="2" t="n">
        <v>11957.57</v>
      </c>
      <c r="L460" s="2" t="s">
        <v>21</v>
      </c>
      <c r="M460" s="2" t="n">
        <v>4.2</v>
      </c>
    </row>
    <row r="461" customFormat="false" ht="15" hidden="false" customHeight="false" outlineLevel="0" collapsed="false">
      <c r="A461" s="2" t="s">
        <v>1044</v>
      </c>
      <c r="B461" s="2" t="n">
        <v>30</v>
      </c>
      <c r="C461" s="2" t="s">
        <v>14</v>
      </c>
      <c r="D461" s="2" t="s">
        <v>52</v>
      </c>
      <c r="E461" s="2" t="s">
        <v>53</v>
      </c>
      <c r="F461" s="2" t="s">
        <v>54</v>
      </c>
      <c r="G461" s="2" t="s">
        <v>33</v>
      </c>
      <c r="H461" s="2" t="s">
        <v>822</v>
      </c>
      <c r="I461" s="2" t="s">
        <v>507</v>
      </c>
      <c r="J461" s="2" t="n">
        <v>1</v>
      </c>
      <c r="K461" s="2" t="n">
        <v>3470.65</v>
      </c>
      <c r="L461" s="2" t="s">
        <v>57</v>
      </c>
      <c r="M461" s="2" t="n">
        <v>3.6</v>
      </c>
    </row>
    <row r="462" customFormat="false" ht="15" hidden="false" customHeight="false" outlineLevel="0" collapsed="false">
      <c r="A462" s="2" t="s">
        <v>1045</v>
      </c>
      <c r="B462" s="2" t="n">
        <v>84</v>
      </c>
      <c r="C462" s="2" t="s">
        <v>14</v>
      </c>
      <c r="D462" s="2" t="s">
        <v>15</v>
      </c>
      <c r="E462" s="2" t="s">
        <v>53</v>
      </c>
      <c r="F462" s="2" t="s">
        <v>54</v>
      </c>
      <c r="G462" s="2" t="s">
        <v>18</v>
      </c>
      <c r="H462" s="2" t="s">
        <v>483</v>
      </c>
      <c r="I462" s="2" t="s">
        <v>329</v>
      </c>
      <c r="J462" s="2" t="n">
        <v>6</v>
      </c>
      <c r="K462" s="2" t="n">
        <v>4770.37</v>
      </c>
      <c r="L462" s="2" t="s">
        <v>21</v>
      </c>
      <c r="M462" s="2" t="n">
        <v>4.3</v>
      </c>
    </row>
    <row r="463" customFormat="false" ht="15" hidden="false" customHeight="false" outlineLevel="0" collapsed="false">
      <c r="A463" s="2" t="s">
        <v>1046</v>
      </c>
      <c r="B463" s="2" t="n">
        <v>59</v>
      </c>
      <c r="C463" s="2" t="s">
        <v>14</v>
      </c>
      <c r="D463" s="2" t="s">
        <v>64</v>
      </c>
      <c r="E463" s="2" t="s">
        <v>59</v>
      </c>
      <c r="F463" s="2" t="s">
        <v>60</v>
      </c>
      <c r="G463" s="2" t="s">
        <v>77</v>
      </c>
      <c r="H463" s="2" t="s">
        <v>592</v>
      </c>
      <c r="I463" s="2" t="s">
        <v>727</v>
      </c>
      <c r="J463" s="2" t="n">
        <v>8</v>
      </c>
      <c r="K463" s="2" t="n">
        <v>10397.74</v>
      </c>
      <c r="L463" s="2" t="s">
        <v>97</v>
      </c>
      <c r="M463" s="2" t="n">
        <v>3.4</v>
      </c>
    </row>
    <row r="464" customFormat="false" ht="15" hidden="false" customHeight="false" outlineLevel="0" collapsed="false">
      <c r="A464" s="2" t="s">
        <v>1047</v>
      </c>
      <c r="B464" s="2" t="n">
        <v>78</v>
      </c>
      <c r="C464" s="2" t="s">
        <v>14</v>
      </c>
      <c r="D464" s="2" t="s">
        <v>15</v>
      </c>
      <c r="E464" s="2" t="s">
        <v>42</v>
      </c>
      <c r="F464" s="2" t="s">
        <v>43</v>
      </c>
      <c r="G464" s="2" t="s">
        <v>18</v>
      </c>
      <c r="H464" s="2" t="s">
        <v>716</v>
      </c>
      <c r="I464" s="2" t="s">
        <v>82</v>
      </c>
      <c r="J464" s="2" t="n">
        <v>8</v>
      </c>
      <c r="K464" s="2" t="n">
        <v>12982.33</v>
      </c>
      <c r="L464" s="2" t="s">
        <v>57</v>
      </c>
      <c r="M464" s="2" t="n">
        <v>4.4</v>
      </c>
    </row>
    <row r="465" customFormat="false" ht="15" hidden="false" customHeight="false" outlineLevel="0" collapsed="false">
      <c r="A465" s="2" t="s">
        <v>1048</v>
      </c>
      <c r="B465" s="2" t="n">
        <v>25</v>
      </c>
      <c r="C465" s="2" t="s">
        <v>30</v>
      </c>
      <c r="D465" s="2" t="s">
        <v>64</v>
      </c>
      <c r="E465" s="2" t="s">
        <v>37</v>
      </c>
      <c r="F465" s="2" t="s">
        <v>158</v>
      </c>
      <c r="G465" s="2" t="s">
        <v>18</v>
      </c>
      <c r="H465" s="2" t="s">
        <v>233</v>
      </c>
      <c r="I465" s="2" t="s">
        <v>92</v>
      </c>
      <c r="J465" s="2" t="n">
        <v>4</v>
      </c>
      <c r="K465" s="2" t="n">
        <v>7438</v>
      </c>
      <c r="L465" s="2" t="s">
        <v>97</v>
      </c>
      <c r="M465" s="2" t="n">
        <v>5</v>
      </c>
    </row>
    <row r="466" customFormat="false" ht="15" hidden="false" customHeight="false" outlineLevel="0" collapsed="false">
      <c r="A466" s="2" t="s">
        <v>1049</v>
      </c>
      <c r="B466" s="2" t="n">
        <v>62</v>
      </c>
      <c r="C466" s="2" t="s">
        <v>30</v>
      </c>
      <c r="D466" s="2" t="s">
        <v>64</v>
      </c>
      <c r="E466" s="2" t="s">
        <v>42</v>
      </c>
      <c r="F466" s="2" t="s">
        <v>108</v>
      </c>
      <c r="G466" s="2" t="s">
        <v>33</v>
      </c>
      <c r="H466" s="2" t="s">
        <v>1050</v>
      </c>
      <c r="I466" s="2" t="s">
        <v>353</v>
      </c>
      <c r="J466" s="2" t="n">
        <v>5</v>
      </c>
      <c r="K466" s="2" t="n">
        <v>10982.56</v>
      </c>
      <c r="L466" s="2" t="s">
        <v>21</v>
      </c>
      <c r="M466" s="2" t="n">
        <v>2.7</v>
      </c>
    </row>
    <row r="467" customFormat="false" ht="15" hidden="false" customHeight="false" outlineLevel="0" collapsed="false">
      <c r="A467" s="2" t="s">
        <v>1051</v>
      </c>
      <c r="B467" s="2" t="n">
        <v>80</v>
      </c>
      <c r="C467" s="2" t="s">
        <v>14</v>
      </c>
      <c r="D467" s="2" t="s">
        <v>23</v>
      </c>
      <c r="E467" s="2" t="s">
        <v>16</v>
      </c>
      <c r="F467" s="2" t="s">
        <v>47</v>
      </c>
      <c r="G467" s="2" t="s">
        <v>33</v>
      </c>
      <c r="H467" s="2" t="s">
        <v>1052</v>
      </c>
      <c r="I467" s="2" t="s">
        <v>1009</v>
      </c>
      <c r="J467" s="2" t="n">
        <v>3</v>
      </c>
      <c r="K467" s="2" t="n">
        <v>7969.51</v>
      </c>
      <c r="L467" s="2" t="s">
        <v>57</v>
      </c>
      <c r="M467" s="2" t="n">
        <v>5</v>
      </c>
    </row>
    <row r="468" customFormat="false" ht="15" hidden="false" customHeight="false" outlineLevel="0" collapsed="false">
      <c r="A468" s="2" t="s">
        <v>1053</v>
      </c>
      <c r="B468" s="2" t="n">
        <v>88</v>
      </c>
      <c r="C468" s="2" t="s">
        <v>14</v>
      </c>
      <c r="D468" s="2" t="s">
        <v>31</v>
      </c>
      <c r="E468" s="2" t="s">
        <v>24</v>
      </c>
      <c r="F468" s="2" t="s">
        <v>147</v>
      </c>
      <c r="G468" s="2" t="s">
        <v>77</v>
      </c>
      <c r="H468" s="2" t="s">
        <v>428</v>
      </c>
      <c r="I468" s="2" t="s">
        <v>672</v>
      </c>
      <c r="J468" s="2" t="n">
        <v>10</v>
      </c>
      <c r="K468" s="2" t="n">
        <v>15603.75</v>
      </c>
      <c r="L468" s="2" t="s">
        <v>21</v>
      </c>
      <c r="M468" s="2" t="n">
        <v>3.4</v>
      </c>
    </row>
    <row r="469" customFormat="false" ht="15" hidden="false" customHeight="false" outlineLevel="0" collapsed="false">
      <c r="A469" s="2" t="s">
        <v>1054</v>
      </c>
      <c r="B469" s="2" t="n">
        <v>41</v>
      </c>
      <c r="C469" s="2" t="s">
        <v>14</v>
      </c>
      <c r="D469" s="2" t="s">
        <v>23</v>
      </c>
      <c r="E469" s="2" t="s">
        <v>59</v>
      </c>
      <c r="F469" s="2" t="s">
        <v>65</v>
      </c>
      <c r="G469" s="2" t="s">
        <v>33</v>
      </c>
      <c r="H469" s="2" t="s">
        <v>775</v>
      </c>
      <c r="I469" s="2" t="s">
        <v>1055</v>
      </c>
      <c r="J469" s="2" t="n">
        <v>3</v>
      </c>
      <c r="K469" s="2" t="n">
        <v>7077.87</v>
      </c>
      <c r="L469" s="2" t="s">
        <v>21</v>
      </c>
      <c r="M469" s="2" t="n">
        <v>2.9</v>
      </c>
    </row>
    <row r="470" customFormat="false" ht="15" hidden="false" customHeight="false" outlineLevel="0" collapsed="false">
      <c r="A470" s="2" t="s">
        <v>1056</v>
      </c>
      <c r="B470" s="2" t="n">
        <v>85</v>
      </c>
      <c r="C470" s="2" t="s">
        <v>30</v>
      </c>
      <c r="D470" s="2" t="s">
        <v>23</v>
      </c>
      <c r="E470" s="2" t="s">
        <v>16</v>
      </c>
      <c r="F470" s="2" t="s">
        <v>47</v>
      </c>
      <c r="G470" s="2" t="s">
        <v>33</v>
      </c>
      <c r="H470" s="2" t="s">
        <v>268</v>
      </c>
      <c r="I470" s="2" t="s">
        <v>787</v>
      </c>
      <c r="J470" s="2" t="n">
        <v>4</v>
      </c>
      <c r="K470" s="2" t="n">
        <v>8260.64</v>
      </c>
      <c r="L470" s="2" t="s">
        <v>21</v>
      </c>
      <c r="M470" s="2" t="n">
        <v>4.8</v>
      </c>
    </row>
    <row r="471" customFormat="false" ht="15" hidden="false" customHeight="false" outlineLevel="0" collapsed="false">
      <c r="A471" s="2" t="s">
        <v>1057</v>
      </c>
      <c r="B471" s="2" t="n">
        <v>34</v>
      </c>
      <c r="C471" s="2" t="s">
        <v>14</v>
      </c>
      <c r="D471" s="2" t="s">
        <v>31</v>
      </c>
      <c r="E471" s="2" t="s">
        <v>16</v>
      </c>
      <c r="F471" s="2" t="s">
        <v>90</v>
      </c>
      <c r="G471" s="2" t="s">
        <v>77</v>
      </c>
      <c r="H471" s="2" t="s">
        <v>613</v>
      </c>
      <c r="I471" s="2" t="s">
        <v>771</v>
      </c>
      <c r="J471" s="2" t="n">
        <v>5</v>
      </c>
      <c r="K471" s="2" t="n">
        <v>10724.25</v>
      </c>
      <c r="L471" s="2" t="s">
        <v>57</v>
      </c>
      <c r="M471" s="2" t="n">
        <v>4.1</v>
      </c>
    </row>
    <row r="472" customFormat="false" ht="15" hidden="false" customHeight="false" outlineLevel="0" collapsed="false">
      <c r="A472" s="2" t="s">
        <v>1058</v>
      </c>
      <c r="B472" s="2" t="n">
        <v>80</v>
      </c>
      <c r="C472" s="2" t="s">
        <v>30</v>
      </c>
      <c r="D472" s="2" t="s">
        <v>31</v>
      </c>
      <c r="E472" s="2" t="s">
        <v>59</v>
      </c>
      <c r="F472" s="2" t="s">
        <v>65</v>
      </c>
      <c r="G472" s="2" t="s">
        <v>26</v>
      </c>
      <c r="H472" s="2" t="s">
        <v>102</v>
      </c>
      <c r="I472" s="2" t="s">
        <v>127</v>
      </c>
      <c r="J472" s="2" t="n">
        <v>11</v>
      </c>
      <c r="K472" s="2" t="n">
        <v>11451.69</v>
      </c>
      <c r="L472" s="2" t="s">
        <v>97</v>
      </c>
      <c r="M472" s="2" t="n">
        <v>4.4</v>
      </c>
    </row>
    <row r="473" customFormat="false" ht="15" hidden="false" customHeight="false" outlineLevel="0" collapsed="false">
      <c r="A473" s="2" t="s">
        <v>1059</v>
      </c>
      <c r="B473" s="2" t="n">
        <v>77</v>
      </c>
      <c r="C473" s="2" t="s">
        <v>14</v>
      </c>
      <c r="D473" s="2" t="s">
        <v>15</v>
      </c>
      <c r="E473" s="2" t="s">
        <v>24</v>
      </c>
      <c r="F473" s="2" t="s">
        <v>94</v>
      </c>
      <c r="G473" s="2" t="s">
        <v>33</v>
      </c>
      <c r="H473" s="2" t="s">
        <v>1060</v>
      </c>
      <c r="I473" s="2" t="s">
        <v>1061</v>
      </c>
      <c r="J473" s="2" t="n">
        <v>7</v>
      </c>
      <c r="K473" s="2" t="n">
        <v>21680.22</v>
      </c>
      <c r="L473" s="2" t="s">
        <v>21</v>
      </c>
      <c r="M473" s="2" t="n">
        <v>3.8</v>
      </c>
    </row>
    <row r="474" customFormat="false" ht="15" hidden="false" customHeight="false" outlineLevel="0" collapsed="false">
      <c r="A474" s="2" t="s">
        <v>1062</v>
      </c>
      <c r="B474" s="2" t="n">
        <v>27</v>
      </c>
      <c r="C474" s="2" t="s">
        <v>30</v>
      </c>
      <c r="D474" s="2" t="s">
        <v>31</v>
      </c>
      <c r="E474" s="2" t="s">
        <v>16</v>
      </c>
      <c r="F474" s="2" t="s">
        <v>90</v>
      </c>
      <c r="G474" s="2" t="s">
        <v>86</v>
      </c>
      <c r="H474" s="2" t="s">
        <v>1063</v>
      </c>
      <c r="I474" s="2" t="s">
        <v>803</v>
      </c>
      <c r="J474" s="2" t="n">
        <v>2</v>
      </c>
      <c r="K474" s="2" t="n">
        <v>7815.55</v>
      </c>
      <c r="L474" s="2" t="s">
        <v>21</v>
      </c>
      <c r="M474" s="2" t="n">
        <v>3.7</v>
      </c>
    </row>
    <row r="475" customFormat="false" ht="15" hidden="false" customHeight="false" outlineLevel="0" collapsed="false">
      <c r="A475" s="2" t="s">
        <v>1064</v>
      </c>
      <c r="B475" s="2" t="n">
        <v>40</v>
      </c>
      <c r="C475" s="2" t="s">
        <v>30</v>
      </c>
      <c r="D475" s="2" t="s">
        <v>31</v>
      </c>
      <c r="E475" s="2" t="s">
        <v>37</v>
      </c>
      <c r="F475" s="2" t="s">
        <v>173</v>
      </c>
      <c r="G475" s="2" t="s">
        <v>48</v>
      </c>
      <c r="H475" s="2" t="s">
        <v>347</v>
      </c>
      <c r="I475" s="2" t="s">
        <v>113</v>
      </c>
      <c r="J475" s="2" t="n">
        <v>7</v>
      </c>
      <c r="K475" s="2" t="n">
        <v>7958.97</v>
      </c>
      <c r="L475" s="2" t="s">
        <v>21</v>
      </c>
      <c r="M475" s="2" t="n">
        <v>2.7</v>
      </c>
    </row>
    <row r="476" customFormat="false" ht="15" hidden="false" customHeight="false" outlineLevel="0" collapsed="false">
      <c r="A476" s="2" t="s">
        <v>1065</v>
      </c>
      <c r="B476" s="2" t="n">
        <v>41</v>
      </c>
      <c r="C476" s="2" t="s">
        <v>30</v>
      </c>
      <c r="D476" s="2" t="s">
        <v>23</v>
      </c>
      <c r="E476" s="2" t="s">
        <v>59</v>
      </c>
      <c r="F476" s="2" t="s">
        <v>65</v>
      </c>
      <c r="G476" s="2" t="s">
        <v>26</v>
      </c>
      <c r="H476" s="2" t="s">
        <v>1066</v>
      </c>
      <c r="I476" s="2" t="s">
        <v>1067</v>
      </c>
      <c r="J476" s="2" t="n">
        <v>3</v>
      </c>
      <c r="K476" s="2" t="n">
        <v>8444.25</v>
      </c>
      <c r="L476" s="2" t="s">
        <v>21</v>
      </c>
      <c r="M476" s="2" t="n">
        <v>4.3</v>
      </c>
    </row>
    <row r="477" customFormat="false" ht="15" hidden="false" customHeight="false" outlineLevel="0" collapsed="false">
      <c r="A477" s="2" t="s">
        <v>1068</v>
      </c>
      <c r="B477" s="2" t="n">
        <v>65</v>
      </c>
      <c r="C477" s="2" t="s">
        <v>30</v>
      </c>
      <c r="D477" s="2" t="s">
        <v>52</v>
      </c>
      <c r="E477" s="2" t="s">
        <v>37</v>
      </c>
      <c r="F477" s="2" t="s">
        <v>173</v>
      </c>
      <c r="G477" s="2" t="s">
        <v>26</v>
      </c>
      <c r="H477" s="2" t="s">
        <v>685</v>
      </c>
      <c r="I477" s="2" t="s">
        <v>194</v>
      </c>
      <c r="J477" s="2" t="n">
        <v>5</v>
      </c>
      <c r="K477" s="2" t="n">
        <v>6796.06</v>
      </c>
      <c r="L477" s="2" t="s">
        <v>57</v>
      </c>
      <c r="M477" s="2" t="n">
        <v>3.4</v>
      </c>
    </row>
    <row r="478" customFormat="false" ht="15" hidden="false" customHeight="false" outlineLevel="0" collapsed="false">
      <c r="A478" s="2" t="s">
        <v>1069</v>
      </c>
      <c r="B478" s="2" t="n">
        <v>50</v>
      </c>
      <c r="C478" s="2" t="s">
        <v>30</v>
      </c>
      <c r="D478" s="2" t="s">
        <v>52</v>
      </c>
      <c r="E478" s="2" t="s">
        <v>53</v>
      </c>
      <c r="F478" s="2" t="s">
        <v>253</v>
      </c>
      <c r="G478" s="2" t="s">
        <v>86</v>
      </c>
      <c r="H478" s="2" t="s">
        <v>584</v>
      </c>
      <c r="I478" s="2" t="s">
        <v>159</v>
      </c>
      <c r="J478" s="2" t="n">
        <v>4</v>
      </c>
      <c r="K478" s="2" t="n">
        <v>4707.93</v>
      </c>
      <c r="L478" s="2" t="s">
        <v>21</v>
      </c>
      <c r="M478" s="2" t="n">
        <v>4.2</v>
      </c>
    </row>
    <row r="479" customFormat="false" ht="15" hidden="false" customHeight="false" outlineLevel="0" collapsed="false">
      <c r="A479" s="2" t="s">
        <v>1070</v>
      </c>
      <c r="B479" s="2" t="n">
        <v>56</v>
      </c>
      <c r="C479" s="2" t="s">
        <v>14</v>
      </c>
      <c r="D479" s="2" t="s">
        <v>64</v>
      </c>
      <c r="E479" s="2" t="s">
        <v>59</v>
      </c>
      <c r="F479" s="2" t="s">
        <v>60</v>
      </c>
      <c r="G479" s="2" t="s">
        <v>48</v>
      </c>
      <c r="H479" s="2" t="s">
        <v>292</v>
      </c>
      <c r="I479" s="2" t="s">
        <v>517</v>
      </c>
      <c r="J479" s="2" t="n">
        <v>6</v>
      </c>
      <c r="K479" s="2" t="n">
        <v>10621.71</v>
      </c>
      <c r="L479" s="2" t="s">
        <v>21</v>
      </c>
      <c r="M479" s="2" t="n">
        <v>3.1</v>
      </c>
    </row>
    <row r="480" customFormat="false" ht="15" hidden="false" customHeight="false" outlineLevel="0" collapsed="false">
      <c r="A480" s="2" t="s">
        <v>1071</v>
      </c>
      <c r="B480" s="2" t="n">
        <v>37</v>
      </c>
      <c r="C480" s="2" t="s">
        <v>14</v>
      </c>
      <c r="D480" s="2" t="s">
        <v>31</v>
      </c>
      <c r="E480" s="2" t="s">
        <v>53</v>
      </c>
      <c r="F480" s="2" t="s">
        <v>54</v>
      </c>
      <c r="G480" s="2" t="s">
        <v>18</v>
      </c>
      <c r="H480" s="2" t="s">
        <v>876</v>
      </c>
      <c r="I480" s="2" t="s">
        <v>353</v>
      </c>
      <c r="J480" s="2" t="n">
        <v>1</v>
      </c>
      <c r="K480" s="2" t="n">
        <v>4937.7</v>
      </c>
      <c r="L480" s="2" t="s">
        <v>21</v>
      </c>
      <c r="M480" s="2" t="n">
        <v>3.7</v>
      </c>
    </row>
    <row r="481" customFormat="false" ht="15" hidden="false" customHeight="false" outlineLevel="0" collapsed="false">
      <c r="A481" s="2" t="s">
        <v>1072</v>
      </c>
      <c r="B481" s="2" t="n">
        <v>69</v>
      </c>
      <c r="C481" s="2" t="s">
        <v>14</v>
      </c>
      <c r="D481" s="2" t="s">
        <v>31</v>
      </c>
      <c r="E481" s="2" t="s">
        <v>37</v>
      </c>
      <c r="F481" s="2" t="s">
        <v>173</v>
      </c>
      <c r="G481" s="2" t="s">
        <v>77</v>
      </c>
      <c r="H481" s="2" t="s">
        <v>407</v>
      </c>
      <c r="I481" s="2" t="s">
        <v>380</v>
      </c>
      <c r="J481" s="2" t="n">
        <v>7</v>
      </c>
      <c r="K481" s="2" t="n">
        <v>5950.81</v>
      </c>
      <c r="L481" s="2" t="s">
        <v>21</v>
      </c>
      <c r="M481" s="2" t="n">
        <v>3.6</v>
      </c>
    </row>
    <row r="482" customFormat="false" ht="15" hidden="false" customHeight="false" outlineLevel="0" collapsed="false">
      <c r="A482" s="2" t="s">
        <v>1073</v>
      </c>
      <c r="B482" s="2" t="n">
        <v>30</v>
      </c>
      <c r="C482" s="2" t="s">
        <v>30</v>
      </c>
      <c r="D482" s="2" t="s">
        <v>31</v>
      </c>
      <c r="E482" s="2" t="s">
        <v>37</v>
      </c>
      <c r="F482" s="2" t="s">
        <v>38</v>
      </c>
      <c r="G482" s="2" t="s">
        <v>86</v>
      </c>
      <c r="H482" s="2" t="s">
        <v>773</v>
      </c>
      <c r="I482" s="2" t="s">
        <v>392</v>
      </c>
      <c r="J482" s="2" t="n">
        <v>5</v>
      </c>
      <c r="K482" s="2" t="n">
        <v>7032.12</v>
      </c>
      <c r="L482" s="2" t="s">
        <v>57</v>
      </c>
      <c r="M482" s="2" t="n">
        <v>2.1</v>
      </c>
    </row>
    <row r="483" customFormat="false" ht="15" hidden="false" customHeight="false" outlineLevel="0" collapsed="false">
      <c r="A483" s="2" t="s">
        <v>1074</v>
      </c>
      <c r="B483" s="2" t="n">
        <v>33</v>
      </c>
      <c r="C483" s="2" t="s">
        <v>14</v>
      </c>
      <c r="D483" s="2" t="s">
        <v>23</v>
      </c>
      <c r="E483" s="2" t="s">
        <v>42</v>
      </c>
      <c r="F483" s="2" t="s">
        <v>108</v>
      </c>
      <c r="G483" s="2" t="s">
        <v>86</v>
      </c>
      <c r="H483" s="2" t="s">
        <v>672</v>
      </c>
      <c r="I483" s="2" t="s">
        <v>219</v>
      </c>
      <c r="J483" s="2" t="n">
        <v>6</v>
      </c>
      <c r="K483" s="2" t="n">
        <v>9426.38</v>
      </c>
      <c r="L483" s="2" t="s">
        <v>21</v>
      </c>
      <c r="M483" s="2" t="n">
        <v>3.4</v>
      </c>
    </row>
    <row r="484" customFormat="false" ht="15" hidden="false" customHeight="false" outlineLevel="0" collapsed="false">
      <c r="A484" s="2" t="s">
        <v>1075</v>
      </c>
      <c r="B484" s="2" t="n">
        <v>59</v>
      </c>
      <c r="C484" s="2" t="s">
        <v>14</v>
      </c>
      <c r="D484" s="2" t="s">
        <v>64</v>
      </c>
      <c r="E484" s="2" t="s">
        <v>42</v>
      </c>
      <c r="F484" s="2" t="s">
        <v>108</v>
      </c>
      <c r="G484" s="2" t="s">
        <v>77</v>
      </c>
      <c r="H484" s="2" t="s">
        <v>1076</v>
      </c>
      <c r="I484" s="2" t="s">
        <v>1077</v>
      </c>
      <c r="J484" s="2" t="n">
        <v>4</v>
      </c>
      <c r="K484" s="2" t="n">
        <v>9763.59</v>
      </c>
      <c r="L484" s="2" t="s">
        <v>21</v>
      </c>
      <c r="M484" s="2" t="n">
        <v>3.7</v>
      </c>
    </row>
    <row r="485" customFormat="false" ht="15" hidden="false" customHeight="false" outlineLevel="0" collapsed="false">
      <c r="A485" s="2" t="s">
        <v>1078</v>
      </c>
      <c r="B485" s="2" t="n">
        <v>61</v>
      </c>
      <c r="C485" s="2" t="s">
        <v>14</v>
      </c>
      <c r="D485" s="2" t="s">
        <v>52</v>
      </c>
      <c r="E485" s="2" t="s">
        <v>24</v>
      </c>
      <c r="F485" s="2" t="s">
        <v>25</v>
      </c>
      <c r="G485" s="2" t="s">
        <v>26</v>
      </c>
      <c r="H485" s="2" t="s">
        <v>367</v>
      </c>
      <c r="I485" s="2" t="s">
        <v>501</v>
      </c>
      <c r="J485" s="2" t="n">
        <v>7</v>
      </c>
      <c r="K485" s="2" t="n">
        <v>17561.56</v>
      </c>
      <c r="L485" s="2" t="s">
        <v>21</v>
      </c>
      <c r="M485" s="2" t="n">
        <v>4.2</v>
      </c>
    </row>
    <row r="486" customFormat="false" ht="15" hidden="false" customHeight="false" outlineLevel="0" collapsed="false">
      <c r="A486" s="2" t="s">
        <v>1079</v>
      </c>
      <c r="B486" s="2" t="n">
        <v>34</v>
      </c>
      <c r="C486" s="2" t="s">
        <v>14</v>
      </c>
      <c r="D486" s="2" t="s">
        <v>52</v>
      </c>
      <c r="E486" s="2" t="s">
        <v>24</v>
      </c>
      <c r="F486" s="2" t="s">
        <v>147</v>
      </c>
      <c r="G486" s="2" t="s">
        <v>77</v>
      </c>
      <c r="H486" s="2" t="s">
        <v>1080</v>
      </c>
      <c r="I486" s="2" t="s">
        <v>1081</v>
      </c>
      <c r="J486" s="2" t="n">
        <v>6</v>
      </c>
      <c r="K486" s="2" t="n">
        <v>15780.08</v>
      </c>
      <c r="L486" s="2" t="s">
        <v>21</v>
      </c>
      <c r="M486" s="2" t="n">
        <v>3.5</v>
      </c>
    </row>
    <row r="487" customFormat="false" ht="15" hidden="false" customHeight="false" outlineLevel="0" collapsed="false">
      <c r="A487" s="2" t="s">
        <v>1082</v>
      </c>
      <c r="B487" s="2" t="n">
        <v>27</v>
      </c>
      <c r="C487" s="2" t="s">
        <v>30</v>
      </c>
      <c r="D487" s="2" t="s">
        <v>52</v>
      </c>
      <c r="E487" s="2" t="s">
        <v>59</v>
      </c>
      <c r="F487" s="2" t="s">
        <v>60</v>
      </c>
      <c r="G487" s="2" t="s">
        <v>86</v>
      </c>
      <c r="H487" s="2" t="s">
        <v>473</v>
      </c>
      <c r="I487" s="2" t="s">
        <v>1007</v>
      </c>
      <c r="J487" s="2" t="n">
        <v>3</v>
      </c>
      <c r="K487" s="2" t="n">
        <v>6889.79</v>
      </c>
      <c r="L487" s="2" t="s">
        <v>21</v>
      </c>
      <c r="M487" s="2" t="n">
        <v>4</v>
      </c>
    </row>
    <row r="488" customFormat="false" ht="15" hidden="false" customHeight="false" outlineLevel="0" collapsed="false">
      <c r="A488" s="2" t="s">
        <v>1083</v>
      </c>
      <c r="B488" s="2" t="n">
        <v>62</v>
      </c>
      <c r="C488" s="2" t="s">
        <v>14</v>
      </c>
      <c r="D488" s="2" t="s">
        <v>15</v>
      </c>
      <c r="E488" s="2" t="s">
        <v>16</v>
      </c>
      <c r="F488" s="2" t="s">
        <v>47</v>
      </c>
      <c r="G488" s="2" t="s">
        <v>26</v>
      </c>
      <c r="H488" s="2" t="s">
        <v>1031</v>
      </c>
      <c r="I488" s="2" t="s">
        <v>1032</v>
      </c>
      <c r="J488" s="2" t="n">
        <v>2</v>
      </c>
      <c r="K488" s="2" t="n">
        <v>6915.32</v>
      </c>
      <c r="L488" s="2" t="s">
        <v>57</v>
      </c>
      <c r="M488" s="2" t="n">
        <v>3.8</v>
      </c>
    </row>
    <row r="489" customFormat="false" ht="15" hidden="false" customHeight="false" outlineLevel="0" collapsed="false">
      <c r="A489" s="2" t="s">
        <v>1084</v>
      </c>
      <c r="B489" s="2" t="n">
        <v>37</v>
      </c>
      <c r="C489" s="2" t="s">
        <v>14</v>
      </c>
      <c r="D489" s="2" t="s">
        <v>31</v>
      </c>
      <c r="E489" s="2" t="s">
        <v>37</v>
      </c>
      <c r="F489" s="2" t="s">
        <v>158</v>
      </c>
      <c r="G489" s="2" t="s">
        <v>18</v>
      </c>
      <c r="H489" s="2" t="s">
        <v>640</v>
      </c>
      <c r="I489" s="2" t="s">
        <v>70</v>
      </c>
      <c r="J489" s="2" t="n">
        <v>7</v>
      </c>
      <c r="K489" s="2" t="n">
        <v>10286.01</v>
      </c>
      <c r="L489" s="2" t="s">
        <v>57</v>
      </c>
      <c r="M489" s="2" t="n">
        <v>2.8</v>
      </c>
    </row>
    <row r="490" customFormat="false" ht="15" hidden="false" customHeight="false" outlineLevel="0" collapsed="false">
      <c r="A490" s="2" t="s">
        <v>1085</v>
      </c>
      <c r="B490" s="2" t="n">
        <v>19</v>
      </c>
      <c r="C490" s="2" t="s">
        <v>30</v>
      </c>
      <c r="D490" s="2" t="s">
        <v>31</v>
      </c>
      <c r="E490" s="2" t="s">
        <v>59</v>
      </c>
      <c r="F490" s="2" t="s">
        <v>85</v>
      </c>
      <c r="G490" s="2" t="s">
        <v>77</v>
      </c>
      <c r="H490" s="2" t="s">
        <v>397</v>
      </c>
      <c r="I490" s="2" t="s">
        <v>634</v>
      </c>
      <c r="J490" s="2" t="n">
        <v>3</v>
      </c>
      <c r="K490" s="2" t="n">
        <v>9943.39</v>
      </c>
      <c r="L490" s="2" t="s">
        <v>21</v>
      </c>
      <c r="M490" s="2" t="n">
        <v>2.5</v>
      </c>
    </row>
    <row r="491" customFormat="false" ht="15" hidden="false" customHeight="false" outlineLevel="0" collapsed="false">
      <c r="A491" s="2" t="s">
        <v>1086</v>
      </c>
      <c r="B491" s="2" t="n">
        <v>88</v>
      </c>
      <c r="C491" s="2" t="s">
        <v>30</v>
      </c>
      <c r="D491" s="2" t="s">
        <v>23</v>
      </c>
      <c r="E491" s="2" t="s">
        <v>37</v>
      </c>
      <c r="F491" s="2" t="s">
        <v>151</v>
      </c>
      <c r="G491" s="2" t="s">
        <v>48</v>
      </c>
      <c r="H491" s="2" t="s">
        <v>867</v>
      </c>
      <c r="I491" s="2" t="s">
        <v>1087</v>
      </c>
      <c r="J491" s="2" t="n">
        <v>5</v>
      </c>
      <c r="K491" s="2" t="n">
        <v>6974.6</v>
      </c>
      <c r="L491" s="2" t="s">
        <v>57</v>
      </c>
      <c r="M491" s="2" t="n">
        <v>3</v>
      </c>
    </row>
    <row r="492" customFormat="false" ht="15" hidden="false" customHeight="false" outlineLevel="0" collapsed="false">
      <c r="A492" s="2" t="s">
        <v>1088</v>
      </c>
      <c r="B492" s="2" t="n">
        <v>85</v>
      </c>
      <c r="C492" s="2" t="s">
        <v>14</v>
      </c>
      <c r="D492" s="2" t="s">
        <v>15</v>
      </c>
      <c r="E492" s="2" t="s">
        <v>16</v>
      </c>
      <c r="F492" s="2" t="s">
        <v>90</v>
      </c>
      <c r="G492" s="2" t="s">
        <v>33</v>
      </c>
      <c r="H492" s="2" t="s">
        <v>1089</v>
      </c>
      <c r="I492" s="2" t="s">
        <v>349</v>
      </c>
      <c r="J492" s="2" t="n">
        <v>5</v>
      </c>
      <c r="K492" s="2" t="n">
        <v>7262.6</v>
      </c>
      <c r="L492" s="2" t="s">
        <v>21</v>
      </c>
      <c r="M492" s="2" t="n">
        <v>3.5</v>
      </c>
    </row>
    <row r="493" customFormat="false" ht="15" hidden="false" customHeight="false" outlineLevel="0" collapsed="false">
      <c r="A493" s="2" t="s">
        <v>1090</v>
      </c>
      <c r="B493" s="2" t="n">
        <v>67</v>
      </c>
      <c r="C493" s="2" t="s">
        <v>30</v>
      </c>
      <c r="D493" s="2" t="s">
        <v>15</v>
      </c>
      <c r="E493" s="2" t="s">
        <v>42</v>
      </c>
      <c r="F493" s="2" t="s">
        <v>69</v>
      </c>
      <c r="G493" s="2" t="s">
        <v>33</v>
      </c>
      <c r="H493" s="2" t="s">
        <v>702</v>
      </c>
      <c r="I493" s="2" t="s">
        <v>135</v>
      </c>
      <c r="J493" s="2" t="n">
        <v>5</v>
      </c>
      <c r="K493" s="2" t="n">
        <v>6907.91</v>
      </c>
      <c r="L493" s="2" t="s">
        <v>21</v>
      </c>
      <c r="M493" s="2" t="n">
        <v>4.8</v>
      </c>
    </row>
    <row r="494" customFormat="false" ht="15" hidden="false" customHeight="false" outlineLevel="0" collapsed="false">
      <c r="A494" s="2" t="s">
        <v>1091</v>
      </c>
      <c r="B494" s="2" t="n">
        <v>30</v>
      </c>
      <c r="C494" s="2" t="s">
        <v>30</v>
      </c>
      <c r="D494" s="2" t="s">
        <v>52</v>
      </c>
      <c r="E494" s="2" t="s">
        <v>24</v>
      </c>
      <c r="F494" s="2" t="s">
        <v>25</v>
      </c>
      <c r="G494" s="2" t="s">
        <v>18</v>
      </c>
      <c r="H494" s="2" t="s">
        <v>27</v>
      </c>
      <c r="I494" s="2" t="s">
        <v>1092</v>
      </c>
      <c r="J494" s="2" t="n">
        <v>5</v>
      </c>
      <c r="K494" s="2" t="n">
        <v>16986.42</v>
      </c>
      <c r="L494" s="2" t="s">
        <v>57</v>
      </c>
      <c r="M494" s="2" t="n">
        <v>4.1</v>
      </c>
    </row>
    <row r="495" customFormat="false" ht="15" hidden="false" customHeight="false" outlineLevel="0" collapsed="false">
      <c r="A495" s="2" t="s">
        <v>1093</v>
      </c>
      <c r="B495" s="2" t="n">
        <v>85</v>
      </c>
      <c r="C495" s="2" t="s">
        <v>30</v>
      </c>
      <c r="D495" s="2" t="s">
        <v>15</v>
      </c>
      <c r="E495" s="2" t="s">
        <v>53</v>
      </c>
      <c r="F495" s="2" t="s">
        <v>253</v>
      </c>
      <c r="G495" s="2" t="s">
        <v>48</v>
      </c>
      <c r="H495" s="2" t="s">
        <v>1094</v>
      </c>
      <c r="I495" s="2" t="s">
        <v>507</v>
      </c>
      <c r="J495" s="2" t="n">
        <v>3</v>
      </c>
      <c r="K495" s="2" t="n">
        <v>5365.4</v>
      </c>
      <c r="L495" s="2" t="s">
        <v>21</v>
      </c>
      <c r="M495" s="2" t="n">
        <v>3.8</v>
      </c>
    </row>
    <row r="496" customFormat="false" ht="15" hidden="false" customHeight="false" outlineLevel="0" collapsed="false">
      <c r="A496" s="2" t="s">
        <v>1095</v>
      </c>
      <c r="B496" s="2" t="n">
        <v>56</v>
      </c>
      <c r="C496" s="2" t="s">
        <v>14</v>
      </c>
      <c r="D496" s="2" t="s">
        <v>23</v>
      </c>
      <c r="E496" s="2" t="s">
        <v>59</v>
      </c>
      <c r="F496" s="2" t="s">
        <v>60</v>
      </c>
      <c r="G496" s="2" t="s">
        <v>48</v>
      </c>
      <c r="H496" s="2" t="s">
        <v>457</v>
      </c>
      <c r="I496" s="2" t="s">
        <v>1042</v>
      </c>
      <c r="J496" s="2" t="n">
        <v>9</v>
      </c>
      <c r="K496" s="2" t="n">
        <v>8425.04</v>
      </c>
      <c r="L496" s="2" t="s">
        <v>57</v>
      </c>
      <c r="M496" s="2" t="n">
        <v>4.2</v>
      </c>
    </row>
    <row r="497" customFormat="false" ht="15" hidden="false" customHeight="false" outlineLevel="0" collapsed="false">
      <c r="A497" s="2" t="s">
        <v>1096</v>
      </c>
      <c r="B497" s="2" t="n">
        <v>53</v>
      </c>
      <c r="C497" s="2" t="s">
        <v>14</v>
      </c>
      <c r="D497" s="2" t="s">
        <v>64</v>
      </c>
      <c r="E497" s="2" t="s">
        <v>59</v>
      </c>
      <c r="F497" s="2" t="s">
        <v>85</v>
      </c>
      <c r="G497" s="2" t="s">
        <v>48</v>
      </c>
      <c r="H497" s="2" t="s">
        <v>1097</v>
      </c>
      <c r="I497" s="2" t="s">
        <v>661</v>
      </c>
      <c r="J497" s="2" t="n">
        <v>6</v>
      </c>
      <c r="K497" s="2" t="n">
        <v>10336.76</v>
      </c>
      <c r="L497" s="2" t="s">
        <v>119</v>
      </c>
      <c r="M497" s="2"/>
    </row>
    <row r="498" customFormat="false" ht="15" hidden="false" customHeight="false" outlineLevel="0" collapsed="false">
      <c r="A498" s="2" t="s">
        <v>1098</v>
      </c>
      <c r="B498" s="2" t="n">
        <v>47</v>
      </c>
      <c r="C498" s="2" t="s">
        <v>30</v>
      </c>
      <c r="D498" s="2" t="s">
        <v>64</v>
      </c>
      <c r="E498" s="2" t="s">
        <v>24</v>
      </c>
      <c r="F498" s="2" t="s">
        <v>147</v>
      </c>
      <c r="G498" s="2" t="s">
        <v>77</v>
      </c>
      <c r="H498" s="2" t="s">
        <v>265</v>
      </c>
      <c r="I498" s="2" t="s">
        <v>736</v>
      </c>
      <c r="J498" s="2" t="n">
        <v>8</v>
      </c>
      <c r="K498" s="2" t="n">
        <v>20461.51</v>
      </c>
      <c r="L498" s="2" t="s">
        <v>21</v>
      </c>
      <c r="M498" s="2" t="n">
        <v>3.1</v>
      </c>
    </row>
    <row r="499" customFormat="false" ht="15" hidden="false" customHeight="false" outlineLevel="0" collapsed="false">
      <c r="A499" s="2" t="s">
        <v>1099</v>
      </c>
      <c r="B499" s="2" t="n">
        <v>44</v>
      </c>
      <c r="C499" s="2" t="s">
        <v>14</v>
      </c>
      <c r="D499" s="2" t="s">
        <v>23</v>
      </c>
      <c r="E499" s="2" t="s">
        <v>24</v>
      </c>
      <c r="F499" s="2" t="s">
        <v>147</v>
      </c>
      <c r="G499" s="2" t="s">
        <v>18</v>
      </c>
      <c r="H499" s="2" t="s">
        <v>741</v>
      </c>
      <c r="I499" s="2" t="s">
        <v>622</v>
      </c>
      <c r="J499" s="2" t="n">
        <v>6</v>
      </c>
      <c r="K499" s="2" t="n">
        <v>11453.78</v>
      </c>
      <c r="L499" s="2" t="s">
        <v>57</v>
      </c>
      <c r="M499" s="2" t="n">
        <v>2.1</v>
      </c>
    </row>
    <row r="500" customFormat="false" ht="15" hidden="false" customHeight="false" outlineLevel="0" collapsed="false">
      <c r="A500" s="2" t="s">
        <v>1100</v>
      </c>
      <c r="B500" s="2" t="n">
        <v>36</v>
      </c>
      <c r="C500" s="2" t="s">
        <v>14</v>
      </c>
      <c r="D500" s="2" t="s">
        <v>15</v>
      </c>
      <c r="E500" s="2" t="s">
        <v>42</v>
      </c>
      <c r="F500" s="2" t="s">
        <v>69</v>
      </c>
      <c r="G500" s="2" t="s">
        <v>18</v>
      </c>
      <c r="H500" s="2" t="s">
        <v>769</v>
      </c>
      <c r="I500" s="2" t="s">
        <v>355</v>
      </c>
      <c r="J500" s="2" t="n">
        <v>6</v>
      </c>
      <c r="K500" s="2" t="n">
        <v>11408.45</v>
      </c>
      <c r="L500" s="2" t="s">
        <v>21</v>
      </c>
      <c r="M500" s="2" t="n">
        <v>3.2</v>
      </c>
    </row>
    <row r="501" customFormat="false" ht="15" hidden="false" customHeight="false" outlineLevel="0" collapsed="false">
      <c r="A501" s="2" t="s">
        <v>1101</v>
      </c>
      <c r="B501" s="2" t="n">
        <v>58</v>
      </c>
      <c r="C501" s="2" t="s">
        <v>30</v>
      </c>
      <c r="D501" s="2" t="s">
        <v>52</v>
      </c>
      <c r="E501" s="2" t="s">
        <v>59</v>
      </c>
      <c r="F501" s="2" t="s">
        <v>85</v>
      </c>
      <c r="G501" s="2" t="s">
        <v>48</v>
      </c>
      <c r="H501" s="2" t="s">
        <v>1102</v>
      </c>
      <c r="I501" s="2" t="s">
        <v>589</v>
      </c>
      <c r="J501" s="2" t="n">
        <v>7</v>
      </c>
      <c r="K501" s="2" t="n">
        <v>9157</v>
      </c>
      <c r="L501" s="2" t="s">
        <v>97</v>
      </c>
      <c r="M501" s="2" t="n">
        <v>3.8</v>
      </c>
    </row>
    <row r="502" customFormat="false" ht="15" hidden="false" customHeight="false" outlineLevel="0" collapsed="false">
      <c r="A502" s="2" t="s">
        <v>1103</v>
      </c>
      <c r="B502" s="2" t="n">
        <v>52</v>
      </c>
      <c r="C502" s="2" t="s">
        <v>14</v>
      </c>
      <c r="D502" s="2" t="s">
        <v>23</v>
      </c>
      <c r="E502" s="2" t="s">
        <v>16</v>
      </c>
      <c r="F502" s="2" t="s">
        <v>17</v>
      </c>
      <c r="G502" s="2" t="s">
        <v>48</v>
      </c>
      <c r="H502" s="2" t="s">
        <v>634</v>
      </c>
      <c r="I502" s="2" t="s">
        <v>1104</v>
      </c>
      <c r="J502" s="2" t="n">
        <v>4</v>
      </c>
      <c r="K502" s="2" t="n">
        <v>7406.65</v>
      </c>
      <c r="L502" s="2" t="s">
        <v>21</v>
      </c>
      <c r="M502" s="2" t="n">
        <v>4.4</v>
      </c>
    </row>
    <row r="503" customFormat="false" ht="15" hidden="false" customHeight="false" outlineLevel="0" collapsed="false">
      <c r="A503" s="2" t="s">
        <v>1105</v>
      </c>
      <c r="B503" s="2" t="n">
        <v>82</v>
      </c>
      <c r="C503" s="2" t="s">
        <v>30</v>
      </c>
      <c r="D503" s="2" t="s">
        <v>15</v>
      </c>
      <c r="E503" s="2" t="s">
        <v>16</v>
      </c>
      <c r="F503" s="2" t="s">
        <v>32</v>
      </c>
      <c r="G503" s="2" t="s">
        <v>77</v>
      </c>
      <c r="H503" s="2" t="s">
        <v>887</v>
      </c>
      <c r="I503" s="2" t="s">
        <v>250</v>
      </c>
      <c r="J503" s="2" t="n">
        <v>5</v>
      </c>
      <c r="K503" s="2" t="n">
        <v>9917.67</v>
      </c>
      <c r="L503" s="2" t="s">
        <v>21</v>
      </c>
      <c r="M503" s="2" t="n">
        <v>3.6</v>
      </c>
    </row>
    <row r="504" customFormat="false" ht="15" hidden="false" customHeight="false" outlineLevel="0" collapsed="false">
      <c r="A504" s="2" t="s">
        <v>1106</v>
      </c>
      <c r="B504" s="2" t="n">
        <v>52</v>
      </c>
      <c r="C504" s="2" t="s">
        <v>30</v>
      </c>
      <c r="D504" s="2" t="s">
        <v>64</v>
      </c>
      <c r="E504" s="2" t="s">
        <v>37</v>
      </c>
      <c r="F504" s="2" t="s">
        <v>151</v>
      </c>
      <c r="G504" s="2" t="s">
        <v>18</v>
      </c>
      <c r="H504" s="2" t="s">
        <v>1055</v>
      </c>
      <c r="I504" s="2" t="s">
        <v>1107</v>
      </c>
      <c r="J504" s="2" t="n">
        <v>4</v>
      </c>
      <c r="K504" s="2" t="n">
        <v>8310.41</v>
      </c>
      <c r="L504" s="2" t="s">
        <v>21</v>
      </c>
      <c r="M504" s="2" t="n">
        <v>5</v>
      </c>
    </row>
    <row r="505" customFormat="false" ht="15" hidden="false" customHeight="false" outlineLevel="0" collapsed="false">
      <c r="A505" s="2" t="s">
        <v>1108</v>
      </c>
      <c r="B505" s="2" t="n">
        <v>80</v>
      </c>
      <c r="C505" s="2" t="s">
        <v>30</v>
      </c>
      <c r="D505" s="2" t="s">
        <v>52</v>
      </c>
      <c r="E505" s="2" t="s">
        <v>16</v>
      </c>
      <c r="F505" s="2" t="s">
        <v>32</v>
      </c>
      <c r="G505" s="2" t="s">
        <v>77</v>
      </c>
      <c r="H505" s="2" t="s">
        <v>1109</v>
      </c>
      <c r="I505" s="2" t="s">
        <v>339</v>
      </c>
      <c r="J505" s="2" t="n">
        <v>1</v>
      </c>
      <c r="K505" s="2" t="n">
        <v>5915.18</v>
      </c>
      <c r="L505" s="2" t="s">
        <v>97</v>
      </c>
      <c r="M505" s="2" t="n">
        <v>2.4</v>
      </c>
    </row>
    <row r="506" customFormat="false" ht="15" hidden="false" customHeight="false" outlineLevel="0" collapsed="false">
      <c r="A506" s="2" t="s">
        <v>1110</v>
      </c>
      <c r="B506" s="2" t="n">
        <v>86</v>
      </c>
      <c r="C506" s="2" t="s">
        <v>14</v>
      </c>
      <c r="D506" s="2" t="s">
        <v>23</v>
      </c>
      <c r="E506" s="2" t="s">
        <v>42</v>
      </c>
      <c r="F506" s="2" t="s">
        <v>108</v>
      </c>
      <c r="G506" s="2" t="s">
        <v>77</v>
      </c>
      <c r="H506" s="2" t="s">
        <v>339</v>
      </c>
      <c r="I506" s="2" t="s">
        <v>528</v>
      </c>
      <c r="J506" s="2" t="n">
        <v>9</v>
      </c>
      <c r="K506" s="2" t="n">
        <v>13018.38</v>
      </c>
      <c r="L506" s="2" t="s">
        <v>21</v>
      </c>
      <c r="M506" s="2" t="n">
        <v>3</v>
      </c>
    </row>
    <row r="507" customFormat="false" ht="15" hidden="false" customHeight="false" outlineLevel="0" collapsed="false">
      <c r="A507" s="2" t="s">
        <v>1111</v>
      </c>
      <c r="B507" s="2" t="n">
        <v>23</v>
      </c>
      <c r="C507" s="2" t="s">
        <v>30</v>
      </c>
      <c r="D507" s="2" t="s">
        <v>23</v>
      </c>
      <c r="E507" s="2" t="s">
        <v>37</v>
      </c>
      <c r="F507" s="2" t="s">
        <v>158</v>
      </c>
      <c r="G507" s="2" t="s">
        <v>18</v>
      </c>
      <c r="H507" s="2" t="s">
        <v>644</v>
      </c>
      <c r="I507" s="2" t="s">
        <v>1112</v>
      </c>
      <c r="J507" s="2" t="n">
        <v>1</v>
      </c>
      <c r="K507" s="2" t="n">
        <v>6747.13</v>
      </c>
      <c r="L507" s="2" t="s">
        <v>97</v>
      </c>
      <c r="M507" s="2" t="n">
        <v>3.7</v>
      </c>
    </row>
    <row r="508" customFormat="false" ht="15" hidden="false" customHeight="false" outlineLevel="0" collapsed="false">
      <c r="A508" s="2" t="s">
        <v>1113</v>
      </c>
      <c r="B508" s="2" t="n">
        <v>55</v>
      </c>
      <c r="C508" s="2" t="s">
        <v>14</v>
      </c>
      <c r="D508" s="2" t="s">
        <v>23</v>
      </c>
      <c r="E508" s="2" t="s">
        <v>16</v>
      </c>
      <c r="F508" s="2" t="s">
        <v>32</v>
      </c>
      <c r="G508" s="2" t="s">
        <v>48</v>
      </c>
      <c r="H508" s="2" t="s">
        <v>191</v>
      </c>
      <c r="I508" s="2" t="s">
        <v>1114</v>
      </c>
      <c r="J508" s="2" t="n">
        <v>5</v>
      </c>
      <c r="K508" s="2" t="n">
        <v>10630.37</v>
      </c>
      <c r="L508" s="2" t="s">
        <v>21</v>
      </c>
      <c r="M508" s="2" t="n">
        <v>4</v>
      </c>
    </row>
    <row r="509" customFormat="false" ht="15" hidden="false" customHeight="false" outlineLevel="0" collapsed="false">
      <c r="A509" s="2" t="s">
        <v>1115</v>
      </c>
      <c r="B509" s="2" t="n">
        <v>87</v>
      </c>
      <c r="C509" s="2" t="s">
        <v>14</v>
      </c>
      <c r="D509" s="2" t="s">
        <v>52</v>
      </c>
      <c r="E509" s="2" t="s">
        <v>53</v>
      </c>
      <c r="F509" s="2" t="s">
        <v>54</v>
      </c>
      <c r="G509" s="2" t="s">
        <v>77</v>
      </c>
      <c r="H509" s="2" t="s">
        <v>862</v>
      </c>
      <c r="I509" s="2" t="s">
        <v>206</v>
      </c>
      <c r="J509" s="2" t="n">
        <v>4</v>
      </c>
      <c r="K509" s="2" t="n">
        <v>5571.04</v>
      </c>
      <c r="L509" s="2" t="s">
        <v>97</v>
      </c>
      <c r="M509" s="2" t="n">
        <v>3.8</v>
      </c>
    </row>
    <row r="510" customFormat="false" ht="15" hidden="false" customHeight="false" outlineLevel="0" collapsed="false">
      <c r="A510" s="2" t="s">
        <v>1116</v>
      </c>
      <c r="B510" s="2" t="n">
        <v>50</v>
      </c>
      <c r="C510" s="2" t="s">
        <v>30</v>
      </c>
      <c r="D510" s="2" t="s">
        <v>64</v>
      </c>
      <c r="E510" s="2" t="s">
        <v>37</v>
      </c>
      <c r="F510" s="2" t="s">
        <v>158</v>
      </c>
      <c r="G510" s="2" t="s">
        <v>86</v>
      </c>
      <c r="H510" s="2" t="s">
        <v>389</v>
      </c>
      <c r="I510" s="2" t="s">
        <v>1117</v>
      </c>
      <c r="J510" s="2" t="n">
        <v>7</v>
      </c>
      <c r="K510" s="2" t="n">
        <v>7876.4</v>
      </c>
      <c r="L510" s="2" t="s">
        <v>21</v>
      </c>
      <c r="M510" s="2" t="n">
        <v>2.5</v>
      </c>
    </row>
    <row r="511" customFormat="false" ht="15" hidden="false" customHeight="false" outlineLevel="0" collapsed="false">
      <c r="A511" s="2" t="s">
        <v>1118</v>
      </c>
      <c r="B511" s="2" t="n">
        <v>67</v>
      </c>
      <c r="C511" s="2" t="s">
        <v>14</v>
      </c>
      <c r="D511" s="2" t="s">
        <v>52</v>
      </c>
      <c r="E511" s="2" t="s">
        <v>24</v>
      </c>
      <c r="F511" s="2" t="s">
        <v>94</v>
      </c>
      <c r="G511" s="2" t="s">
        <v>86</v>
      </c>
      <c r="H511" s="2" t="s">
        <v>675</v>
      </c>
      <c r="I511" s="2" t="s">
        <v>380</v>
      </c>
      <c r="J511" s="2" t="n">
        <v>10</v>
      </c>
      <c r="K511" s="2" t="n">
        <v>16970.99</v>
      </c>
      <c r="L511" s="2" t="s">
        <v>21</v>
      </c>
      <c r="M511" s="2" t="n">
        <v>4.1</v>
      </c>
    </row>
    <row r="512" customFormat="false" ht="15" hidden="false" customHeight="false" outlineLevel="0" collapsed="false">
      <c r="A512" s="2" t="s">
        <v>1119</v>
      </c>
      <c r="B512" s="2" t="n">
        <v>40</v>
      </c>
      <c r="C512" s="2" t="s">
        <v>14</v>
      </c>
      <c r="D512" s="2" t="s">
        <v>52</v>
      </c>
      <c r="E512" s="2" t="s">
        <v>59</v>
      </c>
      <c r="F512" s="2" t="s">
        <v>202</v>
      </c>
      <c r="G512" s="2" t="s">
        <v>48</v>
      </c>
      <c r="H512" s="2" t="s">
        <v>190</v>
      </c>
      <c r="I512" s="2" t="s">
        <v>1120</v>
      </c>
      <c r="J512" s="2" t="n">
        <v>8</v>
      </c>
      <c r="K512" s="2" t="n">
        <v>9792.85</v>
      </c>
      <c r="L512" s="2" t="s">
        <v>57</v>
      </c>
      <c r="M512" s="2" t="n">
        <v>3.8</v>
      </c>
    </row>
    <row r="513" customFormat="false" ht="15" hidden="false" customHeight="false" outlineLevel="0" collapsed="false">
      <c r="A513" s="2" t="s">
        <v>1121</v>
      </c>
      <c r="B513" s="2" t="n">
        <v>43</v>
      </c>
      <c r="C513" s="2" t="s">
        <v>14</v>
      </c>
      <c r="D513" s="2" t="s">
        <v>23</v>
      </c>
      <c r="E513" s="2" t="s">
        <v>59</v>
      </c>
      <c r="F513" s="2" t="s">
        <v>60</v>
      </c>
      <c r="G513" s="2" t="s">
        <v>77</v>
      </c>
      <c r="H513" s="2" t="s">
        <v>840</v>
      </c>
      <c r="I513" s="2" t="s">
        <v>841</v>
      </c>
      <c r="J513" s="2" t="n">
        <v>7</v>
      </c>
      <c r="K513" s="2" t="n">
        <v>8256.93</v>
      </c>
      <c r="L513" s="2" t="s">
        <v>21</v>
      </c>
      <c r="M513" s="2" t="n">
        <v>3.8</v>
      </c>
    </row>
    <row r="514" customFormat="false" ht="15" hidden="false" customHeight="false" outlineLevel="0" collapsed="false">
      <c r="A514" s="2" t="s">
        <v>1122</v>
      </c>
      <c r="B514" s="2" t="n">
        <v>78</v>
      </c>
      <c r="C514" s="2" t="s">
        <v>30</v>
      </c>
      <c r="D514" s="2" t="s">
        <v>52</v>
      </c>
      <c r="E514" s="2" t="s">
        <v>53</v>
      </c>
      <c r="F514" s="2" t="s">
        <v>154</v>
      </c>
      <c r="G514" s="2" t="s">
        <v>26</v>
      </c>
      <c r="H514" s="2" t="s">
        <v>1066</v>
      </c>
      <c r="I514" s="2" t="s">
        <v>512</v>
      </c>
      <c r="J514" s="2" t="n">
        <v>1</v>
      </c>
      <c r="K514" s="2" t="n">
        <v>4922.45</v>
      </c>
      <c r="L514" s="2" t="s">
        <v>21</v>
      </c>
      <c r="M514" s="2" t="n">
        <v>3.8</v>
      </c>
    </row>
    <row r="515" customFormat="false" ht="15" hidden="false" customHeight="false" outlineLevel="0" collapsed="false">
      <c r="A515" s="2" t="s">
        <v>1123</v>
      </c>
      <c r="B515" s="2" t="n">
        <v>89</v>
      </c>
      <c r="C515" s="2" t="s">
        <v>14</v>
      </c>
      <c r="D515" s="2" t="s">
        <v>31</v>
      </c>
      <c r="E515" s="2" t="s">
        <v>16</v>
      </c>
      <c r="F515" s="2" t="s">
        <v>17</v>
      </c>
      <c r="G515" s="2" t="s">
        <v>86</v>
      </c>
      <c r="H515" s="2" t="s">
        <v>1124</v>
      </c>
      <c r="I515" s="2" t="s">
        <v>341</v>
      </c>
      <c r="J515" s="2" t="n">
        <v>4</v>
      </c>
      <c r="K515" s="2" t="n">
        <v>9455.91</v>
      </c>
      <c r="L515" s="2" t="s">
        <v>21</v>
      </c>
      <c r="M515" s="2" t="n">
        <v>2.8</v>
      </c>
    </row>
    <row r="516" customFormat="false" ht="15" hidden="false" customHeight="false" outlineLevel="0" collapsed="false">
      <c r="A516" s="2" t="s">
        <v>1125</v>
      </c>
      <c r="B516" s="2" t="n">
        <v>60</v>
      </c>
      <c r="C516" s="2" t="s">
        <v>14</v>
      </c>
      <c r="D516" s="2" t="s">
        <v>31</v>
      </c>
      <c r="E516" s="2" t="s">
        <v>42</v>
      </c>
      <c r="F516" s="2" t="s">
        <v>108</v>
      </c>
      <c r="G516" s="2" t="s">
        <v>18</v>
      </c>
      <c r="H516" s="2" t="s">
        <v>1126</v>
      </c>
      <c r="I516" s="2" t="s">
        <v>555</v>
      </c>
      <c r="J516" s="2" t="n">
        <v>4</v>
      </c>
      <c r="K516" s="2" t="n">
        <v>9001.43</v>
      </c>
      <c r="L516" s="2" t="s">
        <v>21</v>
      </c>
      <c r="M516" s="2" t="n">
        <v>2.8</v>
      </c>
    </row>
    <row r="517" customFormat="false" ht="15" hidden="false" customHeight="false" outlineLevel="0" collapsed="false">
      <c r="A517" s="2" t="s">
        <v>1127</v>
      </c>
      <c r="B517" s="2" t="n">
        <v>89</v>
      </c>
      <c r="C517" s="2" t="s">
        <v>14</v>
      </c>
      <c r="D517" s="2" t="s">
        <v>52</v>
      </c>
      <c r="E517" s="2" t="s">
        <v>37</v>
      </c>
      <c r="F517" s="2" t="s">
        <v>173</v>
      </c>
      <c r="G517" s="2" t="s">
        <v>86</v>
      </c>
      <c r="H517" s="2" t="s">
        <v>307</v>
      </c>
      <c r="I517" s="2" t="s">
        <v>258</v>
      </c>
      <c r="J517" s="2" t="n">
        <v>6</v>
      </c>
      <c r="K517" s="2" t="n">
        <v>6935.29</v>
      </c>
      <c r="L517" s="2" t="s">
        <v>57</v>
      </c>
      <c r="M517" s="2" t="n">
        <v>4</v>
      </c>
    </row>
    <row r="518" customFormat="false" ht="15" hidden="false" customHeight="false" outlineLevel="0" collapsed="false">
      <c r="A518" s="2" t="s">
        <v>1128</v>
      </c>
      <c r="B518" s="2" t="n">
        <v>88</v>
      </c>
      <c r="C518" s="2" t="s">
        <v>14</v>
      </c>
      <c r="D518" s="2" t="s">
        <v>15</v>
      </c>
      <c r="E518" s="2" t="s">
        <v>53</v>
      </c>
      <c r="F518" s="2" t="s">
        <v>76</v>
      </c>
      <c r="G518" s="2" t="s">
        <v>86</v>
      </c>
      <c r="H518" s="2" t="s">
        <v>866</v>
      </c>
      <c r="I518" s="2" t="s">
        <v>912</v>
      </c>
      <c r="J518" s="2" t="n">
        <v>1</v>
      </c>
      <c r="K518" s="2" t="n">
        <v>3962.92</v>
      </c>
      <c r="L518" s="2" t="s">
        <v>21</v>
      </c>
      <c r="M518" s="2" t="n">
        <v>3.3</v>
      </c>
    </row>
    <row r="519" customFormat="false" ht="15" hidden="false" customHeight="false" outlineLevel="0" collapsed="false">
      <c r="A519" s="2" t="s">
        <v>1129</v>
      </c>
      <c r="B519" s="2" t="n">
        <v>44</v>
      </c>
      <c r="C519" s="2" t="s">
        <v>14</v>
      </c>
      <c r="D519" s="2" t="s">
        <v>23</v>
      </c>
      <c r="E519" s="2" t="s">
        <v>42</v>
      </c>
      <c r="F519" s="2" t="s">
        <v>69</v>
      </c>
      <c r="G519" s="2" t="s">
        <v>26</v>
      </c>
      <c r="H519" s="2" t="s">
        <v>966</v>
      </c>
      <c r="I519" s="2" t="s">
        <v>967</v>
      </c>
      <c r="J519" s="2" t="n">
        <v>3</v>
      </c>
      <c r="K519" s="2" t="n">
        <v>9568.28</v>
      </c>
      <c r="L519" s="2" t="s">
        <v>97</v>
      </c>
      <c r="M519" s="2" t="n">
        <v>2.7</v>
      </c>
    </row>
    <row r="520" customFormat="false" ht="15" hidden="false" customHeight="false" outlineLevel="0" collapsed="false">
      <c r="A520" s="2" t="s">
        <v>1130</v>
      </c>
      <c r="B520" s="2" t="n">
        <v>54</v>
      </c>
      <c r="C520" s="2" t="s">
        <v>30</v>
      </c>
      <c r="D520" s="2" t="s">
        <v>23</v>
      </c>
      <c r="E520" s="2" t="s">
        <v>59</v>
      </c>
      <c r="F520" s="2" t="s">
        <v>202</v>
      </c>
      <c r="G520" s="2" t="s">
        <v>26</v>
      </c>
      <c r="H520" s="2" t="s">
        <v>990</v>
      </c>
      <c r="I520" s="2" t="s">
        <v>1131</v>
      </c>
      <c r="J520" s="2" t="n">
        <v>3</v>
      </c>
      <c r="K520" s="2" t="n">
        <v>9270.42</v>
      </c>
      <c r="L520" s="2" t="s">
        <v>21</v>
      </c>
      <c r="M520" s="2" t="n">
        <v>3.6</v>
      </c>
    </row>
    <row r="521" customFormat="false" ht="15" hidden="false" customHeight="false" outlineLevel="0" collapsed="false">
      <c r="A521" s="2" t="s">
        <v>1132</v>
      </c>
      <c r="B521" s="2" t="n">
        <v>90</v>
      </c>
      <c r="C521" s="2" t="s">
        <v>30</v>
      </c>
      <c r="D521" s="2" t="s">
        <v>23</v>
      </c>
      <c r="E521" s="2" t="s">
        <v>37</v>
      </c>
      <c r="F521" s="2" t="s">
        <v>38</v>
      </c>
      <c r="G521" s="2" t="s">
        <v>77</v>
      </c>
      <c r="H521" s="2" t="s">
        <v>380</v>
      </c>
      <c r="I521" s="2" t="s">
        <v>1133</v>
      </c>
      <c r="J521" s="2" t="n">
        <v>7</v>
      </c>
      <c r="K521" s="2" t="n">
        <v>7765.48</v>
      </c>
      <c r="L521" s="2" t="s">
        <v>21</v>
      </c>
      <c r="M521" s="2" t="n">
        <v>3.6</v>
      </c>
    </row>
    <row r="522" customFormat="false" ht="15" hidden="false" customHeight="false" outlineLevel="0" collapsed="false">
      <c r="A522" s="2" t="s">
        <v>1134</v>
      </c>
      <c r="B522" s="2" t="n">
        <v>77</v>
      </c>
      <c r="C522" s="2" t="s">
        <v>14</v>
      </c>
      <c r="D522" s="2" t="s">
        <v>64</v>
      </c>
      <c r="E522" s="2" t="s">
        <v>24</v>
      </c>
      <c r="F522" s="2" t="s">
        <v>94</v>
      </c>
      <c r="G522" s="2" t="s">
        <v>77</v>
      </c>
      <c r="H522" s="2" t="s">
        <v>1135</v>
      </c>
      <c r="I522" s="2" t="s">
        <v>529</v>
      </c>
      <c r="J522" s="2" t="n">
        <v>9</v>
      </c>
      <c r="K522" s="2" t="n">
        <v>16667.21</v>
      </c>
      <c r="L522" s="2" t="s">
        <v>21</v>
      </c>
      <c r="M522" s="2" t="n">
        <v>4.1</v>
      </c>
    </row>
    <row r="523" customFormat="false" ht="15" hidden="false" customHeight="false" outlineLevel="0" collapsed="false">
      <c r="A523" s="2" t="s">
        <v>1136</v>
      </c>
      <c r="B523" s="2" t="n">
        <v>19</v>
      </c>
      <c r="C523" s="2" t="s">
        <v>14</v>
      </c>
      <c r="D523" s="2" t="s">
        <v>15</v>
      </c>
      <c r="E523" s="2" t="s">
        <v>59</v>
      </c>
      <c r="F523" s="2" t="s">
        <v>60</v>
      </c>
      <c r="G523" s="2" t="s">
        <v>33</v>
      </c>
      <c r="H523" s="2" t="s">
        <v>429</v>
      </c>
      <c r="I523" s="2" t="s">
        <v>818</v>
      </c>
      <c r="J523" s="2" t="n">
        <v>3</v>
      </c>
      <c r="K523" s="2" t="n">
        <v>7949.44</v>
      </c>
      <c r="L523" s="2" t="s">
        <v>21</v>
      </c>
      <c r="M523" s="2" t="n">
        <v>3.4</v>
      </c>
    </row>
    <row r="524" customFormat="false" ht="15" hidden="false" customHeight="false" outlineLevel="0" collapsed="false">
      <c r="A524" s="2" t="s">
        <v>1137</v>
      </c>
      <c r="B524" s="2" t="n">
        <v>90</v>
      </c>
      <c r="C524" s="2" t="s">
        <v>14</v>
      </c>
      <c r="D524" s="2" t="s">
        <v>64</v>
      </c>
      <c r="E524" s="2" t="s">
        <v>16</v>
      </c>
      <c r="F524" s="2" t="s">
        <v>47</v>
      </c>
      <c r="G524" s="2" t="s">
        <v>33</v>
      </c>
      <c r="H524" s="2" t="s">
        <v>1138</v>
      </c>
      <c r="I524" s="2" t="s">
        <v>474</v>
      </c>
      <c r="J524" s="2" t="n">
        <v>3</v>
      </c>
      <c r="K524" s="2" t="n">
        <v>6780.55</v>
      </c>
      <c r="L524" s="2" t="s">
        <v>21</v>
      </c>
      <c r="M524" s="2" t="n">
        <v>3.8</v>
      </c>
    </row>
    <row r="525" customFormat="false" ht="15" hidden="false" customHeight="false" outlineLevel="0" collapsed="false">
      <c r="A525" s="2" t="s">
        <v>1139</v>
      </c>
      <c r="B525" s="2" t="n">
        <v>35</v>
      </c>
      <c r="C525" s="2" t="s">
        <v>30</v>
      </c>
      <c r="D525" s="2" t="s">
        <v>64</v>
      </c>
      <c r="E525" s="2" t="s">
        <v>37</v>
      </c>
      <c r="F525" s="2" t="s">
        <v>38</v>
      </c>
      <c r="G525" s="2" t="s">
        <v>26</v>
      </c>
      <c r="H525" s="2" t="s">
        <v>547</v>
      </c>
      <c r="I525" s="2" t="s">
        <v>523</v>
      </c>
      <c r="J525" s="2" t="n">
        <v>1</v>
      </c>
      <c r="K525" s="2" t="n">
        <v>6371.48</v>
      </c>
      <c r="L525" s="2" t="s">
        <v>57</v>
      </c>
      <c r="M525" s="2" t="n">
        <v>4.5</v>
      </c>
    </row>
    <row r="526" customFormat="false" ht="15" hidden="false" customHeight="false" outlineLevel="0" collapsed="false">
      <c r="A526" s="2" t="s">
        <v>1140</v>
      </c>
      <c r="B526" s="2" t="n">
        <v>90</v>
      </c>
      <c r="C526" s="2" t="s">
        <v>30</v>
      </c>
      <c r="D526" s="2" t="s">
        <v>23</v>
      </c>
      <c r="E526" s="2" t="s">
        <v>24</v>
      </c>
      <c r="F526" s="2" t="s">
        <v>25</v>
      </c>
      <c r="G526" s="2" t="s">
        <v>18</v>
      </c>
      <c r="H526" s="2" t="s">
        <v>1131</v>
      </c>
      <c r="I526" s="2" t="s">
        <v>946</v>
      </c>
      <c r="J526" s="2" t="n">
        <v>10</v>
      </c>
      <c r="K526" s="2" t="n">
        <v>16879.26</v>
      </c>
      <c r="L526" s="2" t="s">
        <v>57</v>
      </c>
      <c r="M526" s="2" t="n">
        <v>2.1</v>
      </c>
    </row>
    <row r="527" customFormat="false" ht="15" hidden="false" customHeight="false" outlineLevel="0" collapsed="false">
      <c r="A527" s="2" t="s">
        <v>1141</v>
      </c>
      <c r="B527" s="2" t="n">
        <v>63</v>
      </c>
      <c r="C527" s="2" t="s">
        <v>14</v>
      </c>
      <c r="D527" s="2" t="s">
        <v>64</v>
      </c>
      <c r="E527" s="2" t="s">
        <v>59</v>
      </c>
      <c r="F527" s="2" t="s">
        <v>60</v>
      </c>
      <c r="G527" s="2" t="s">
        <v>33</v>
      </c>
      <c r="H527" s="2" t="s">
        <v>1142</v>
      </c>
      <c r="I527" s="2" t="s">
        <v>972</v>
      </c>
      <c r="J527" s="2" t="n">
        <v>3</v>
      </c>
      <c r="K527" s="2" t="n">
        <v>6133.87</v>
      </c>
      <c r="L527" s="2" t="s">
        <v>21</v>
      </c>
      <c r="M527" s="2" t="n">
        <v>2.9</v>
      </c>
    </row>
    <row r="528" customFormat="false" ht="15" hidden="false" customHeight="false" outlineLevel="0" collapsed="false">
      <c r="A528" s="2" t="s">
        <v>1143</v>
      </c>
      <c r="B528" s="2" t="n">
        <v>57</v>
      </c>
      <c r="C528" s="2" t="s">
        <v>30</v>
      </c>
      <c r="D528" s="2" t="s">
        <v>31</v>
      </c>
      <c r="E528" s="2" t="s">
        <v>59</v>
      </c>
      <c r="F528" s="2" t="s">
        <v>85</v>
      </c>
      <c r="G528" s="2" t="s">
        <v>86</v>
      </c>
      <c r="H528" s="2" t="s">
        <v>1144</v>
      </c>
      <c r="I528" s="2" t="s">
        <v>358</v>
      </c>
      <c r="J528" s="2" t="n">
        <v>7</v>
      </c>
      <c r="K528" s="2" t="n">
        <v>10538.8</v>
      </c>
      <c r="L528" s="2" t="s">
        <v>57</v>
      </c>
      <c r="M528" s="2" t="n">
        <v>3</v>
      </c>
    </row>
    <row r="529" customFormat="false" ht="15" hidden="false" customHeight="false" outlineLevel="0" collapsed="false">
      <c r="A529" s="2" t="s">
        <v>1145</v>
      </c>
      <c r="B529" s="2" t="n">
        <v>56</v>
      </c>
      <c r="C529" s="2" t="s">
        <v>14</v>
      </c>
      <c r="D529" s="2" t="s">
        <v>23</v>
      </c>
      <c r="E529" s="2" t="s">
        <v>59</v>
      </c>
      <c r="F529" s="2" t="s">
        <v>65</v>
      </c>
      <c r="G529" s="2" t="s">
        <v>86</v>
      </c>
      <c r="H529" s="2" t="s">
        <v>1146</v>
      </c>
      <c r="I529" s="2" t="s">
        <v>226</v>
      </c>
      <c r="J529" s="2" t="n">
        <v>6</v>
      </c>
      <c r="K529" s="2" t="n">
        <v>6897.79</v>
      </c>
      <c r="L529" s="2" t="s">
        <v>57</v>
      </c>
      <c r="M529" s="2" t="n">
        <v>3.4</v>
      </c>
    </row>
    <row r="530" customFormat="false" ht="15" hidden="false" customHeight="false" outlineLevel="0" collapsed="false">
      <c r="A530" s="2" t="s">
        <v>1147</v>
      </c>
      <c r="B530" s="2" t="n">
        <v>79</v>
      </c>
      <c r="C530" s="2" t="s">
        <v>14</v>
      </c>
      <c r="D530" s="2" t="s">
        <v>64</v>
      </c>
      <c r="E530" s="2" t="s">
        <v>59</v>
      </c>
      <c r="F530" s="2" t="s">
        <v>85</v>
      </c>
      <c r="G530" s="2" t="s">
        <v>48</v>
      </c>
      <c r="H530" s="2" t="s">
        <v>1148</v>
      </c>
      <c r="I530" s="2" t="s">
        <v>383</v>
      </c>
      <c r="J530" s="2" t="n">
        <v>7</v>
      </c>
      <c r="K530" s="2" t="n">
        <v>9151.63</v>
      </c>
      <c r="L530" s="2" t="s">
        <v>57</v>
      </c>
      <c r="M530" s="2" t="n">
        <v>4</v>
      </c>
    </row>
    <row r="531" customFormat="false" ht="15" hidden="false" customHeight="false" outlineLevel="0" collapsed="false">
      <c r="A531" s="2" t="s">
        <v>1149</v>
      </c>
      <c r="B531" s="2" t="n">
        <v>30</v>
      </c>
      <c r="C531" s="2" t="s">
        <v>14</v>
      </c>
      <c r="D531" s="2" t="s">
        <v>64</v>
      </c>
      <c r="E531" s="2" t="s">
        <v>37</v>
      </c>
      <c r="F531" s="2" t="s">
        <v>158</v>
      </c>
      <c r="G531" s="2" t="s">
        <v>77</v>
      </c>
      <c r="H531" s="2" t="s">
        <v>1150</v>
      </c>
      <c r="I531" s="2" t="s">
        <v>934</v>
      </c>
      <c r="J531" s="2" t="n">
        <v>3</v>
      </c>
      <c r="K531" s="2" t="n">
        <v>5397.49</v>
      </c>
      <c r="L531" s="2" t="s">
        <v>21</v>
      </c>
      <c r="M531" s="2" t="n">
        <v>4.6</v>
      </c>
    </row>
    <row r="532" customFormat="false" ht="15" hidden="false" customHeight="false" outlineLevel="0" collapsed="false">
      <c r="A532" s="2" t="s">
        <v>1151</v>
      </c>
      <c r="B532" s="2" t="n">
        <v>29</v>
      </c>
      <c r="C532" s="2" t="s">
        <v>30</v>
      </c>
      <c r="D532" s="2" t="s">
        <v>52</v>
      </c>
      <c r="E532" s="2" t="s">
        <v>42</v>
      </c>
      <c r="F532" s="2" t="s">
        <v>69</v>
      </c>
      <c r="G532" s="2" t="s">
        <v>26</v>
      </c>
      <c r="H532" s="2" t="s">
        <v>495</v>
      </c>
      <c r="I532" s="2" t="s">
        <v>884</v>
      </c>
      <c r="J532" s="2" t="n">
        <v>3</v>
      </c>
      <c r="K532" s="2" t="n">
        <v>9689.88</v>
      </c>
      <c r="L532" s="2" t="s">
        <v>57</v>
      </c>
      <c r="M532" s="2" t="n">
        <v>3.5</v>
      </c>
    </row>
    <row r="533" customFormat="false" ht="15" hidden="false" customHeight="false" outlineLevel="0" collapsed="false">
      <c r="A533" s="2" t="s">
        <v>1152</v>
      </c>
      <c r="B533" s="2" t="n">
        <v>44</v>
      </c>
      <c r="C533" s="2" t="s">
        <v>30</v>
      </c>
      <c r="D533" s="2" t="s">
        <v>64</v>
      </c>
      <c r="E533" s="2" t="s">
        <v>16</v>
      </c>
      <c r="F533" s="2" t="s">
        <v>47</v>
      </c>
      <c r="G533" s="2" t="s">
        <v>33</v>
      </c>
      <c r="H533" s="2" t="s">
        <v>1153</v>
      </c>
      <c r="I533" s="2" t="s">
        <v>384</v>
      </c>
      <c r="J533" s="2" t="n">
        <v>2</v>
      </c>
      <c r="K533" s="2" t="n">
        <v>9409.03</v>
      </c>
      <c r="L533" s="2" t="s">
        <v>21</v>
      </c>
      <c r="M533" s="2" t="n">
        <v>4</v>
      </c>
    </row>
    <row r="534" customFormat="false" ht="15" hidden="false" customHeight="false" outlineLevel="0" collapsed="false">
      <c r="A534" s="2" t="s">
        <v>1154</v>
      </c>
      <c r="B534" s="2" t="n">
        <v>19</v>
      </c>
      <c r="C534" s="2" t="s">
        <v>14</v>
      </c>
      <c r="D534" s="2" t="s">
        <v>64</v>
      </c>
      <c r="E534" s="2" t="s">
        <v>24</v>
      </c>
      <c r="F534" s="2" t="s">
        <v>372</v>
      </c>
      <c r="G534" s="2" t="s">
        <v>26</v>
      </c>
      <c r="H534" s="2" t="s">
        <v>503</v>
      </c>
      <c r="I534" s="2" t="s">
        <v>1155</v>
      </c>
      <c r="J534" s="2" t="n">
        <v>8</v>
      </c>
      <c r="K534" s="2" t="n">
        <v>17252.12</v>
      </c>
      <c r="L534" s="2" t="s">
        <v>57</v>
      </c>
      <c r="M534" s="2" t="n">
        <v>5</v>
      </c>
    </row>
    <row r="535" customFormat="false" ht="15" hidden="false" customHeight="false" outlineLevel="0" collapsed="false">
      <c r="A535" s="2" t="s">
        <v>1156</v>
      </c>
      <c r="B535" s="2" t="n">
        <v>49</v>
      </c>
      <c r="C535" s="2" t="s">
        <v>14</v>
      </c>
      <c r="D535" s="2" t="s">
        <v>31</v>
      </c>
      <c r="E535" s="2" t="s">
        <v>59</v>
      </c>
      <c r="F535" s="2" t="s">
        <v>202</v>
      </c>
      <c r="G535" s="2" t="s">
        <v>26</v>
      </c>
      <c r="H535" s="2" t="s">
        <v>1032</v>
      </c>
      <c r="I535" s="2" t="s">
        <v>1157</v>
      </c>
      <c r="J535" s="2" t="n">
        <v>6</v>
      </c>
      <c r="K535" s="2" t="n">
        <v>9303.38</v>
      </c>
      <c r="L535" s="2" t="s">
        <v>57</v>
      </c>
      <c r="M535" s="2" t="n">
        <v>4.2</v>
      </c>
    </row>
    <row r="536" customFormat="false" ht="15" hidden="false" customHeight="false" outlineLevel="0" collapsed="false">
      <c r="A536" s="2" t="s">
        <v>1158</v>
      </c>
      <c r="B536" s="2" t="n">
        <v>29</v>
      </c>
      <c r="C536" s="2" t="s">
        <v>30</v>
      </c>
      <c r="D536" s="2" t="s">
        <v>52</v>
      </c>
      <c r="E536" s="2" t="s">
        <v>16</v>
      </c>
      <c r="F536" s="2" t="s">
        <v>32</v>
      </c>
      <c r="G536" s="2" t="s">
        <v>26</v>
      </c>
      <c r="H536" s="2" t="s">
        <v>535</v>
      </c>
      <c r="I536" s="2" t="s">
        <v>309</v>
      </c>
      <c r="J536" s="2" t="n">
        <v>3</v>
      </c>
      <c r="K536" s="2" t="n">
        <v>7384.6</v>
      </c>
      <c r="L536" s="2" t="s">
        <v>97</v>
      </c>
      <c r="M536" s="2" t="n">
        <v>4.8</v>
      </c>
    </row>
    <row r="537" customFormat="false" ht="15" hidden="false" customHeight="false" outlineLevel="0" collapsed="false">
      <c r="A537" s="2" t="s">
        <v>1159</v>
      </c>
      <c r="B537" s="2" t="n">
        <v>86</v>
      </c>
      <c r="C537" s="2" t="s">
        <v>14</v>
      </c>
      <c r="D537" s="2" t="s">
        <v>52</v>
      </c>
      <c r="E537" s="2" t="s">
        <v>24</v>
      </c>
      <c r="F537" s="2" t="s">
        <v>147</v>
      </c>
      <c r="G537" s="2" t="s">
        <v>86</v>
      </c>
      <c r="H537" s="2" t="s">
        <v>867</v>
      </c>
      <c r="I537" s="2" t="s">
        <v>1160</v>
      </c>
      <c r="J537" s="2" t="n">
        <v>6</v>
      </c>
      <c r="K537" s="2" t="n">
        <v>18055.08</v>
      </c>
      <c r="L537" s="2" t="s">
        <v>97</v>
      </c>
      <c r="M537" s="2" t="n">
        <v>3.3</v>
      </c>
    </row>
    <row r="538" customFormat="false" ht="15" hidden="false" customHeight="false" outlineLevel="0" collapsed="false">
      <c r="A538" s="2" t="s">
        <v>1161</v>
      </c>
      <c r="B538" s="2" t="n">
        <v>47</v>
      </c>
      <c r="C538" s="2" t="s">
        <v>14</v>
      </c>
      <c r="D538" s="2" t="s">
        <v>64</v>
      </c>
      <c r="E538" s="2" t="s">
        <v>24</v>
      </c>
      <c r="F538" s="2" t="s">
        <v>372</v>
      </c>
      <c r="G538" s="2" t="s">
        <v>33</v>
      </c>
      <c r="H538" s="2" t="s">
        <v>624</v>
      </c>
      <c r="I538" s="2" t="s">
        <v>551</v>
      </c>
      <c r="J538" s="2" t="n">
        <v>5</v>
      </c>
      <c r="K538" s="2" t="n">
        <v>19723.4</v>
      </c>
      <c r="L538" s="2" t="s">
        <v>21</v>
      </c>
      <c r="M538" s="2" t="n">
        <v>5</v>
      </c>
    </row>
    <row r="539" customFormat="false" ht="15" hidden="false" customHeight="false" outlineLevel="0" collapsed="false">
      <c r="A539" s="2" t="s">
        <v>1162</v>
      </c>
      <c r="B539" s="2" t="n">
        <v>59</v>
      </c>
      <c r="C539" s="2" t="s">
        <v>30</v>
      </c>
      <c r="D539" s="2" t="s">
        <v>52</v>
      </c>
      <c r="E539" s="2" t="s">
        <v>42</v>
      </c>
      <c r="F539" s="2" t="s">
        <v>69</v>
      </c>
      <c r="G539" s="2" t="s">
        <v>77</v>
      </c>
      <c r="H539" s="2" t="s">
        <v>1163</v>
      </c>
      <c r="I539" s="2" t="s">
        <v>878</v>
      </c>
      <c r="J539" s="2" t="n">
        <v>3</v>
      </c>
      <c r="K539" s="2" t="n">
        <v>11219.51</v>
      </c>
      <c r="L539" s="2" t="s">
        <v>21</v>
      </c>
      <c r="M539" s="2" t="n">
        <v>3.8</v>
      </c>
    </row>
    <row r="540" customFormat="false" ht="15" hidden="false" customHeight="false" outlineLevel="0" collapsed="false">
      <c r="A540" s="2" t="s">
        <v>1164</v>
      </c>
      <c r="B540" s="2" t="n">
        <v>34</v>
      </c>
      <c r="C540" s="2" t="s">
        <v>14</v>
      </c>
      <c r="D540" s="2" t="s">
        <v>52</v>
      </c>
      <c r="E540" s="2" t="s">
        <v>37</v>
      </c>
      <c r="F540" s="2" t="s">
        <v>158</v>
      </c>
      <c r="G540" s="2" t="s">
        <v>33</v>
      </c>
      <c r="H540" s="2" t="s">
        <v>493</v>
      </c>
      <c r="I540" s="2" t="s">
        <v>187</v>
      </c>
      <c r="J540" s="2" t="n">
        <v>1</v>
      </c>
      <c r="K540" s="2" t="n">
        <v>4748.02</v>
      </c>
      <c r="L540" s="2" t="s">
        <v>21</v>
      </c>
      <c r="M540" s="2" t="n">
        <v>2.7</v>
      </c>
    </row>
    <row r="541" customFormat="false" ht="15" hidden="false" customHeight="false" outlineLevel="0" collapsed="false">
      <c r="A541" s="2" t="s">
        <v>1165</v>
      </c>
      <c r="B541" s="2" t="n">
        <v>69</v>
      </c>
      <c r="C541" s="2" t="s">
        <v>30</v>
      </c>
      <c r="D541" s="2" t="s">
        <v>64</v>
      </c>
      <c r="E541" s="2" t="s">
        <v>24</v>
      </c>
      <c r="F541" s="2" t="s">
        <v>147</v>
      </c>
      <c r="G541" s="2" t="s">
        <v>26</v>
      </c>
      <c r="H541" s="2" t="s">
        <v>822</v>
      </c>
      <c r="I541" s="2" t="s">
        <v>1166</v>
      </c>
      <c r="J541" s="2" t="n">
        <v>10</v>
      </c>
      <c r="K541" s="2" t="n">
        <v>18517.87</v>
      </c>
      <c r="L541" s="2" t="s">
        <v>21</v>
      </c>
      <c r="M541" s="2" t="n">
        <v>3.7</v>
      </c>
    </row>
    <row r="542" customFormat="false" ht="15" hidden="false" customHeight="false" outlineLevel="0" collapsed="false">
      <c r="A542" s="2" t="s">
        <v>1167</v>
      </c>
      <c r="B542" s="2" t="n">
        <v>73</v>
      </c>
      <c r="C542" s="2" t="s">
        <v>30</v>
      </c>
      <c r="D542" s="2" t="s">
        <v>23</v>
      </c>
      <c r="E542" s="2" t="s">
        <v>37</v>
      </c>
      <c r="F542" s="2" t="s">
        <v>151</v>
      </c>
      <c r="G542" s="2" t="s">
        <v>18</v>
      </c>
      <c r="H542" s="2" t="s">
        <v>496</v>
      </c>
      <c r="I542" s="2" t="s">
        <v>747</v>
      </c>
      <c r="J542" s="2" t="n">
        <v>3</v>
      </c>
      <c r="K542" s="2" t="n">
        <v>5827.05</v>
      </c>
      <c r="L542" s="2" t="s">
        <v>97</v>
      </c>
      <c r="M542" s="2" t="n">
        <v>2.6</v>
      </c>
    </row>
    <row r="543" customFormat="false" ht="15" hidden="false" customHeight="false" outlineLevel="0" collapsed="false">
      <c r="A543" s="2" t="s">
        <v>1168</v>
      </c>
      <c r="B543" s="2" t="n">
        <v>80</v>
      </c>
      <c r="C543" s="2" t="s">
        <v>14</v>
      </c>
      <c r="D543" s="2" t="s">
        <v>23</v>
      </c>
      <c r="E543" s="2" t="s">
        <v>24</v>
      </c>
      <c r="F543" s="2" t="s">
        <v>94</v>
      </c>
      <c r="G543" s="2" t="s">
        <v>33</v>
      </c>
      <c r="H543" s="2" t="s">
        <v>1024</v>
      </c>
      <c r="I543" s="2" t="s">
        <v>336</v>
      </c>
      <c r="J543" s="2" t="n">
        <v>10</v>
      </c>
      <c r="K543" s="2" t="n">
        <v>20875.11</v>
      </c>
      <c r="L543" s="2" t="s">
        <v>21</v>
      </c>
      <c r="M543" s="2" t="n">
        <v>2.5</v>
      </c>
    </row>
    <row r="544" customFormat="false" ht="15" hidden="false" customHeight="false" outlineLevel="0" collapsed="false">
      <c r="A544" s="2" t="s">
        <v>1169</v>
      </c>
      <c r="B544" s="2" t="n">
        <v>66</v>
      </c>
      <c r="C544" s="2" t="s">
        <v>30</v>
      </c>
      <c r="D544" s="2" t="s">
        <v>52</v>
      </c>
      <c r="E544" s="2" t="s">
        <v>37</v>
      </c>
      <c r="F544" s="2" t="s">
        <v>158</v>
      </c>
      <c r="G544" s="2" t="s">
        <v>86</v>
      </c>
      <c r="H544" s="2" t="s">
        <v>1170</v>
      </c>
      <c r="I544" s="2" t="s">
        <v>656</v>
      </c>
      <c r="J544" s="2" t="n">
        <v>6</v>
      </c>
      <c r="K544" s="2" t="n">
        <v>8839.63</v>
      </c>
      <c r="L544" s="2" t="s">
        <v>57</v>
      </c>
      <c r="M544" s="2" t="n">
        <v>2.2</v>
      </c>
    </row>
    <row r="545" customFormat="false" ht="15" hidden="false" customHeight="false" outlineLevel="0" collapsed="false">
      <c r="A545" s="2" t="s">
        <v>1171</v>
      </c>
      <c r="B545" s="2" t="n">
        <v>18</v>
      </c>
      <c r="C545" s="2" t="s">
        <v>14</v>
      </c>
      <c r="D545" s="2" t="s">
        <v>64</v>
      </c>
      <c r="E545" s="2" t="s">
        <v>53</v>
      </c>
      <c r="F545" s="2" t="s">
        <v>54</v>
      </c>
      <c r="G545" s="2" t="s">
        <v>77</v>
      </c>
      <c r="H545" s="2" t="s">
        <v>920</v>
      </c>
      <c r="I545" s="2" t="s">
        <v>639</v>
      </c>
      <c r="J545" s="2" t="n">
        <v>1</v>
      </c>
      <c r="K545" s="2" t="n">
        <v>3401.36</v>
      </c>
      <c r="L545" s="2" t="s">
        <v>21</v>
      </c>
      <c r="M545" s="2" t="n">
        <v>3.4</v>
      </c>
    </row>
    <row r="546" customFormat="false" ht="15" hidden="false" customHeight="false" outlineLevel="0" collapsed="false">
      <c r="A546" s="2" t="s">
        <v>1172</v>
      </c>
      <c r="B546" s="2" t="n">
        <v>56</v>
      </c>
      <c r="C546" s="2" t="s">
        <v>30</v>
      </c>
      <c r="D546" s="2" t="s">
        <v>15</v>
      </c>
      <c r="E546" s="2" t="s">
        <v>42</v>
      </c>
      <c r="F546" s="2" t="s">
        <v>69</v>
      </c>
      <c r="G546" s="2" t="s">
        <v>26</v>
      </c>
      <c r="H546" s="2" t="s">
        <v>404</v>
      </c>
      <c r="I546" s="2" t="s">
        <v>1173</v>
      </c>
      <c r="J546" s="2" t="n">
        <v>7</v>
      </c>
      <c r="K546" s="2" t="n">
        <v>10568</v>
      </c>
      <c r="L546" s="2" t="s">
        <v>21</v>
      </c>
      <c r="M546" s="2" t="n">
        <v>3.7</v>
      </c>
    </row>
    <row r="547" customFormat="false" ht="15" hidden="false" customHeight="false" outlineLevel="0" collapsed="false">
      <c r="A547" s="2" t="s">
        <v>1174</v>
      </c>
      <c r="B547" s="2" t="n">
        <v>65</v>
      </c>
      <c r="C547" s="2" t="s">
        <v>14</v>
      </c>
      <c r="D547" s="2" t="s">
        <v>31</v>
      </c>
      <c r="E547" s="2" t="s">
        <v>37</v>
      </c>
      <c r="F547" s="2" t="s">
        <v>173</v>
      </c>
      <c r="G547" s="2" t="s">
        <v>86</v>
      </c>
      <c r="H547" s="2" t="s">
        <v>517</v>
      </c>
      <c r="I547" s="2" t="s">
        <v>315</v>
      </c>
      <c r="J547" s="2" t="n">
        <v>6</v>
      </c>
      <c r="K547" s="2" t="n">
        <v>7297.97</v>
      </c>
      <c r="L547" s="2" t="s">
        <v>21</v>
      </c>
      <c r="M547" s="2" t="n">
        <v>3</v>
      </c>
    </row>
    <row r="548" customFormat="false" ht="15" hidden="false" customHeight="false" outlineLevel="0" collapsed="false">
      <c r="A548" s="2" t="s">
        <v>1175</v>
      </c>
      <c r="B548" s="2" t="n">
        <v>66</v>
      </c>
      <c r="C548" s="2" t="s">
        <v>30</v>
      </c>
      <c r="D548" s="2" t="s">
        <v>52</v>
      </c>
      <c r="E548" s="2" t="s">
        <v>53</v>
      </c>
      <c r="F548" s="2" t="s">
        <v>76</v>
      </c>
      <c r="G548" s="2" t="s">
        <v>48</v>
      </c>
      <c r="H548" s="2" t="s">
        <v>407</v>
      </c>
      <c r="I548" s="2" t="s">
        <v>228</v>
      </c>
      <c r="J548" s="2" t="n">
        <v>3</v>
      </c>
      <c r="K548" s="2" t="n">
        <v>3991.82</v>
      </c>
      <c r="L548" s="2" t="s">
        <v>21</v>
      </c>
      <c r="M548" s="2" t="n">
        <v>3.7</v>
      </c>
    </row>
    <row r="549" customFormat="false" ht="15" hidden="false" customHeight="false" outlineLevel="0" collapsed="false">
      <c r="A549" s="2" t="s">
        <v>1176</v>
      </c>
      <c r="B549" s="2" t="n">
        <v>64</v>
      </c>
      <c r="C549" s="2" t="s">
        <v>30</v>
      </c>
      <c r="D549" s="2" t="s">
        <v>64</v>
      </c>
      <c r="E549" s="2" t="s">
        <v>59</v>
      </c>
      <c r="F549" s="2" t="s">
        <v>65</v>
      </c>
      <c r="G549" s="2" t="s">
        <v>18</v>
      </c>
      <c r="H549" s="2" t="s">
        <v>73</v>
      </c>
      <c r="I549" s="2" t="s">
        <v>1177</v>
      </c>
      <c r="J549" s="2" t="n">
        <v>6</v>
      </c>
      <c r="K549" s="2" t="n">
        <v>9305.44</v>
      </c>
      <c r="L549" s="2" t="s">
        <v>97</v>
      </c>
      <c r="M549" s="2" t="n">
        <v>2.8</v>
      </c>
    </row>
    <row r="550" customFormat="false" ht="15" hidden="false" customHeight="false" outlineLevel="0" collapsed="false">
      <c r="A550" s="2" t="s">
        <v>1178</v>
      </c>
      <c r="B550" s="2" t="n">
        <v>35</v>
      </c>
      <c r="C550" s="2" t="s">
        <v>14</v>
      </c>
      <c r="D550" s="2" t="s">
        <v>64</v>
      </c>
      <c r="E550" s="2" t="s">
        <v>37</v>
      </c>
      <c r="F550" s="2" t="s">
        <v>38</v>
      </c>
      <c r="G550" s="2" t="s">
        <v>77</v>
      </c>
      <c r="H550" s="2" t="s">
        <v>912</v>
      </c>
      <c r="I550" s="2" t="s">
        <v>197</v>
      </c>
      <c r="J550" s="2" t="n">
        <v>4</v>
      </c>
      <c r="K550" s="2" t="n">
        <v>6182.05</v>
      </c>
      <c r="L550" s="2" t="s">
        <v>21</v>
      </c>
      <c r="M550" s="2" t="n">
        <v>3.2</v>
      </c>
    </row>
    <row r="551" customFormat="false" ht="15" hidden="false" customHeight="false" outlineLevel="0" collapsed="false">
      <c r="A551" s="2" t="s">
        <v>1179</v>
      </c>
      <c r="B551" s="2" t="n">
        <v>83</v>
      </c>
      <c r="C551" s="2" t="s">
        <v>30</v>
      </c>
      <c r="D551" s="2" t="s">
        <v>23</v>
      </c>
      <c r="E551" s="2" t="s">
        <v>53</v>
      </c>
      <c r="F551" s="2" t="s">
        <v>253</v>
      </c>
      <c r="G551" s="2" t="s">
        <v>33</v>
      </c>
      <c r="H551" s="2" t="s">
        <v>1180</v>
      </c>
      <c r="I551" s="2" t="s">
        <v>1181</v>
      </c>
      <c r="J551" s="2" t="n">
        <v>4</v>
      </c>
      <c r="K551" s="2" t="n">
        <v>5601.81</v>
      </c>
      <c r="L551" s="2" t="s">
        <v>21</v>
      </c>
      <c r="M551" s="2" t="n">
        <v>3.9</v>
      </c>
    </row>
    <row r="552" customFormat="false" ht="15" hidden="false" customHeight="false" outlineLevel="0" collapsed="false">
      <c r="A552" s="2" t="s">
        <v>1182</v>
      </c>
      <c r="B552" s="2" t="n">
        <v>82</v>
      </c>
      <c r="C552" s="2" t="s">
        <v>30</v>
      </c>
      <c r="D552" s="2" t="s">
        <v>52</v>
      </c>
      <c r="E552" s="2" t="s">
        <v>24</v>
      </c>
      <c r="F552" s="2" t="s">
        <v>372</v>
      </c>
      <c r="G552" s="2" t="s">
        <v>86</v>
      </c>
      <c r="H552" s="2" t="s">
        <v>338</v>
      </c>
      <c r="I552" s="2" t="s">
        <v>663</v>
      </c>
      <c r="J552" s="2" t="n">
        <v>7</v>
      </c>
      <c r="K552" s="2" t="n">
        <v>13536.27</v>
      </c>
      <c r="L552" s="2" t="s">
        <v>21</v>
      </c>
      <c r="M552" s="2" t="n">
        <v>3</v>
      </c>
    </row>
    <row r="553" customFormat="false" ht="15" hidden="false" customHeight="false" outlineLevel="0" collapsed="false">
      <c r="A553" s="2" t="s">
        <v>1183</v>
      </c>
      <c r="B553" s="2" t="n">
        <v>79</v>
      </c>
      <c r="C553" s="2" t="s">
        <v>14</v>
      </c>
      <c r="D553" s="2" t="s">
        <v>64</v>
      </c>
      <c r="E553" s="2" t="s">
        <v>37</v>
      </c>
      <c r="F553" s="2" t="s">
        <v>173</v>
      </c>
      <c r="G553" s="2" t="s">
        <v>77</v>
      </c>
      <c r="H553" s="2" t="s">
        <v>1173</v>
      </c>
      <c r="I553" s="2" t="s">
        <v>453</v>
      </c>
      <c r="J553" s="2" t="n">
        <v>9</v>
      </c>
      <c r="K553" s="2" t="n">
        <v>10190.7</v>
      </c>
      <c r="L553" s="2" t="s">
        <v>21</v>
      </c>
      <c r="M553" s="2" t="n">
        <v>2.2</v>
      </c>
    </row>
    <row r="554" customFormat="false" ht="15" hidden="false" customHeight="false" outlineLevel="0" collapsed="false">
      <c r="A554" s="2" t="s">
        <v>1184</v>
      </c>
      <c r="B554" s="2" t="n">
        <v>27</v>
      </c>
      <c r="C554" s="2" t="s">
        <v>30</v>
      </c>
      <c r="D554" s="2" t="s">
        <v>23</v>
      </c>
      <c r="E554" s="2" t="s">
        <v>42</v>
      </c>
      <c r="F554" s="2" t="s">
        <v>81</v>
      </c>
      <c r="G554" s="2" t="s">
        <v>26</v>
      </c>
      <c r="H554" s="2" t="s">
        <v>73</v>
      </c>
      <c r="I554" s="2" t="s">
        <v>320</v>
      </c>
      <c r="J554" s="2" t="n">
        <v>4</v>
      </c>
      <c r="K554" s="2" t="n">
        <v>8100.57</v>
      </c>
      <c r="L554" s="2" t="s">
        <v>21</v>
      </c>
      <c r="M554" s="2" t="n">
        <v>3.8</v>
      </c>
    </row>
    <row r="555" customFormat="false" ht="15" hidden="false" customHeight="false" outlineLevel="0" collapsed="false">
      <c r="A555" s="2" t="s">
        <v>1185</v>
      </c>
      <c r="B555" s="2" t="n">
        <v>60</v>
      </c>
      <c r="C555" s="2" t="s">
        <v>30</v>
      </c>
      <c r="D555" s="2" t="s">
        <v>15</v>
      </c>
      <c r="E555" s="2" t="s">
        <v>59</v>
      </c>
      <c r="F555" s="2" t="s">
        <v>202</v>
      </c>
      <c r="G555" s="2" t="s">
        <v>18</v>
      </c>
      <c r="H555" s="2" t="s">
        <v>1186</v>
      </c>
      <c r="I555" s="2" t="s">
        <v>1187</v>
      </c>
      <c r="J555" s="2" t="n">
        <v>5</v>
      </c>
      <c r="K555" s="2" t="n">
        <v>7073.15</v>
      </c>
      <c r="L555" s="2" t="s">
        <v>21</v>
      </c>
      <c r="M555" s="2" t="n">
        <v>3.7</v>
      </c>
    </row>
    <row r="556" customFormat="false" ht="15" hidden="false" customHeight="false" outlineLevel="0" collapsed="false">
      <c r="A556" s="2" t="s">
        <v>1188</v>
      </c>
      <c r="B556" s="2" t="n">
        <v>78</v>
      </c>
      <c r="C556" s="2" t="s">
        <v>14</v>
      </c>
      <c r="D556" s="2" t="s">
        <v>23</v>
      </c>
      <c r="E556" s="2" t="s">
        <v>42</v>
      </c>
      <c r="F556" s="2" t="s">
        <v>81</v>
      </c>
      <c r="G556" s="2" t="s">
        <v>48</v>
      </c>
      <c r="H556" s="2" t="s">
        <v>1189</v>
      </c>
      <c r="I556" s="2" t="s">
        <v>1190</v>
      </c>
      <c r="J556" s="2" t="n">
        <v>4</v>
      </c>
      <c r="K556" s="2" t="n">
        <v>12029.04</v>
      </c>
      <c r="L556" s="2" t="s">
        <v>21</v>
      </c>
      <c r="M556" s="2" t="n">
        <v>3.7</v>
      </c>
    </row>
    <row r="557" customFormat="false" ht="15" hidden="false" customHeight="false" outlineLevel="0" collapsed="false">
      <c r="A557" s="2" t="s">
        <v>1191</v>
      </c>
      <c r="B557" s="2" t="n">
        <v>27</v>
      </c>
      <c r="C557" s="2" t="s">
        <v>30</v>
      </c>
      <c r="D557" s="2" t="s">
        <v>15</v>
      </c>
      <c r="E557" s="2" t="s">
        <v>16</v>
      </c>
      <c r="F557" s="2" t="s">
        <v>47</v>
      </c>
      <c r="G557" s="2" t="s">
        <v>33</v>
      </c>
      <c r="H557" s="2" t="s">
        <v>457</v>
      </c>
      <c r="I557" s="2" t="s">
        <v>164</v>
      </c>
      <c r="J557" s="2" t="n">
        <v>4</v>
      </c>
      <c r="K557" s="2" t="n">
        <v>8862.42</v>
      </c>
      <c r="L557" s="2" t="s">
        <v>21</v>
      </c>
      <c r="M557" s="2" t="n">
        <v>3.3</v>
      </c>
    </row>
    <row r="558" customFormat="false" ht="15" hidden="false" customHeight="false" outlineLevel="0" collapsed="false">
      <c r="A558" s="2" t="s">
        <v>1192</v>
      </c>
      <c r="B558" s="2" t="n">
        <v>75</v>
      </c>
      <c r="C558" s="2" t="s">
        <v>30</v>
      </c>
      <c r="D558" s="2" t="s">
        <v>64</v>
      </c>
      <c r="E558" s="2" t="s">
        <v>59</v>
      </c>
      <c r="F558" s="2" t="s">
        <v>65</v>
      </c>
      <c r="G558" s="2" t="s">
        <v>77</v>
      </c>
      <c r="H558" s="2" t="s">
        <v>1193</v>
      </c>
      <c r="I558" s="2" t="s">
        <v>1133</v>
      </c>
      <c r="J558" s="2" t="n">
        <v>6</v>
      </c>
      <c r="K558" s="2" t="n">
        <v>10026.28</v>
      </c>
      <c r="L558" s="2" t="s">
        <v>21</v>
      </c>
      <c r="M558" s="2" t="n">
        <v>2.2</v>
      </c>
    </row>
    <row r="559" customFormat="false" ht="15" hidden="false" customHeight="false" outlineLevel="0" collapsed="false">
      <c r="A559" s="2" t="s">
        <v>1194</v>
      </c>
      <c r="B559" s="2" t="n">
        <v>28</v>
      </c>
      <c r="C559" s="2" t="s">
        <v>14</v>
      </c>
      <c r="D559" s="2" t="s">
        <v>23</v>
      </c>
      <c r="E559" s="2" t="s">
        <v>16</v>
      </c>
      <c r="F559" s="2" t="s">
        <v>32</v>
      </c>
      <c r="G559" s="2" t="s">
        <v>77</v>
      </c>
      <c r="H559" s="2" t="s">
        <v>559</v>
      </c>
      <c r="I559" s="2" t="s">
        <v>313</v>
      </c>
      <c r="J559" s="2" t="n">
        <v>3</v>
      </c>
      <c r="K559" s="2" t="n">
        <v>9946.68</v>
      </c>
      <c r="L559" s="2" t="s">
        <v>21</v>
      </c>
      <c r="M559" s="2" t="n">
        <v>3.9</v>
      </c>
    </row>
    <row r="560" customFormat="false" ht="15" hidden="false" customHeight="false" outlineLevel="0" collapsed="false">
      <c r="A560" s="2" t="s">
        <v>1195</v>
      </c>
      <c r="B560" s="2" t="n">
        <v>62</v>
      </c>
      <c r="C560" s="2" t="s">
        <v>14</v>
      </c>
      <c r="D560" s="2" t="s">
        <v>15</v>
      </c>
      <c r="E560" s="2" t="s">
        <v>42</v>
      </c>
      <c r="F560" s="2" t="s">
        <v>69</v>
      </c>
      <c r="G560" s="2" t="s">
        <v>18</v>
      </c>
      <c r="H560" s="2" t="s">
        <v>1196</v>
      </c>
      <c r="I560" s="2" t="s">
        <v>1197</v>
      </c>
      <c r="J560" s="2" t="n">
        <v>8</v>
      </c>
      <c r="K560" s="2" t="n">
        <v>10541.93</v>
      </c>
      <c r="L560" s="2" t="s">
        <v>97</v>
      </c>
      <c r="M560" s="2" t="n">
        <v>3.8</v>
      </c>
    </row>
    <row r="561" customFormat="false" ht="15" hidden="false" customHeight="false" outlineLevel="0" collapsed="false">
      <c r="A561" s="2" t="s">
        <v>1198</v>
      </c>
      <c r="B561" s="2" t="n">
        <v>86</v>
      </c>
      <c r="C561" s="2" t="s">
        <v>14</v>
      </c>
      <c r="D561" s="2" t="s">
        <v>52</v>
      </c>
      <c r="E561" s="2" t="s">
        <v>37</v>
      </c>
      <c r="F561" s="2" t="s">
        <v>38</v>
      </c>
      <c r="G561" s="2" t="s">
        <v>77</v>
      </c>
      <c r="H561" s="2" t="s">
        <v>882</v>
      </c>
      <c r="I561" s="2" t="s">
        <v>637</v>
      </c>
      <c r="J561" s="2" t="n">
        <v>8</v>
      </c>
      <c r="K561" s="2" t="n">
        <v>10457.94</v>
      </c>
      <c r="L561" s="2" t="s">
        <v>21</v>
      </c>
      <c r="M561" s="2" t="n">
        <v>4.1</v>
      </c>
    </row>
    <row r="562" customFormat="false" ht="15" hidden="false" customHeight="false" outlineLevel="0" collapsed="false">
      <c r="A562" s="2" t="s">
        <v>1199</v>
      </c>
      <c r="B562" s="2" t="n">
        <v>58</v>
      </c>
      <c r="C562" s="2" t="s">
        <v>14</v>
      </c>
      <c r="D562" s="2" t="s">
        <v>31</v>
      </c>
      <c r="E562" s="2" t="s">
        <v>24</v>
      </c>
      <c r="F562" s="2" t="s">
        <v>372</v>
      </c>
      <c r="G562" s="2" t="s">
        <v>77</v>
      </c>
      <c r="H562" s="2" t="s">
        <v>1200</v>
      </c>
      <c r="I562" s="2" t="s">
        <v>1201</v>
      </c>
      <c r="J562" s="2" t="n">
        <v>7</v>
      </c>
      <c r="K562" s="2" t="n">
        <v>22962.06</v>
      </c>
      <c r="L562" s="2" t="s">
        <v>21</v>
      </c>
      <c r="M562" s="2" t="n">
        <v>2.8</v>
      </c>
    </row>
    <row r="563" customFormat="false" ht="15" hidden="false" customHeight="false" outlineLevel="0" collapsed="false">
      <c r="A563" s="2" t="s">
        <v>1202</v>
      </c>
      <c r="B563" s="2" t="n">
        <v>52</v>
      </c>
      <c r="C563" s="2" t="s">
        <v>14</v>
      </c>
      <c r="D563" s="2" t="s">
        <v>15</v>
      </c>
      <c r="E563" s="2" t="s">
        <v>37</v>
      </c>
      <c r="F563" s="2" t="s">
        <v>38</v>
      </c>
      <c r="G563" s="2" t="s">
        <v>77</v>
      </c>
      <c r="H563" s="2" t="s">
        <v>474</v>
      </c>
      <c r="I563" s="2" t="s">
        <v>564</v>
      </c>
      <c r="J563" s="2" t="n">
        <v>5</v>
      </c>
      <c r="K563" s="2" t="n">
        <v>5709.06</v>
      </c>
      <c r="L563" s="2" t="s">
        <v>21</v>
      </c>
      <c r="M563" s="2" t="n">
        <v>3.8</v>
      </c>
    </row>
    <row r="564" customFormat="false" ht="15" hidden="false" customHeight="false" outlineLevel="0" collapsed="false">
      <c r="A564" s="2" t="s">
        <v>1203</v>
      </c>
      <c r="B564" s="2" t="n">
        <v>41</v>
      </c>
      <c r="C564" s="2" t="s">
        <v>30</v>
      </c>
      <c r="D564" s="2" t="s">
        <v>23</v>
      </c>
      <c r="E564" s="2" t="s">
        <v>42</v>
      </c>
      <c r="F564" s="2" t="s">
        <v>69</v>
      </c>
      <c r="G564" s="2" t="s">
        <v>86</v>
      </c>
      <c r="H564" s="2" t="s">
        <v>733</v>
      </c>
      <c r="I564" s="2" t="s">
        <v>1204</v>
      </c>
      <c r="J564" s="2" t="n">
        <v>6</v>
      </c>
      <c r="K564" s="2" t="n">
        <v>9139.26</v>
      </c>
      <c r="L564" s="2" t="s">
        <v>21</v>
      </c>
      <c r="M564" s="2" t="n">
        <v>4</v>
      </c>
    </row>
    <row r="565" customFormat="false" ht="15" hidden="false" customHeight="false" outlineLevel="0" collapsed="false">
      <c r="A565" s="2" t="s">
        <v>1205</v>
      </c>
      <c r="B565" s="2" t="n">
        <v>62</v>
      </c>
      <c r="C565" s="2" t="s">
        <v>14</v>
      </c>
      <c r="D565" s="2" t="s">
        <v>15</v>
      </c>
      <c r="E565" s="2" t="s">
        <v>59</v>
      </c>
      <c r="F565" s="2" t="s">
        <v>65</v>
      </c>
      <c r="G565" s="2" t="s">
        <v>86</v>
      </c>
      <c r="H565" s="2" t="s">
        <v>864</v>
      </c>
      <c r="I565" s="2" t="s">
        <v>206</v>
      </c>
      <c r="J565" s="2" t="n">
        <v>5</v>
      </c>
      <c r="K565" s="2" t="n">
        <v>8482.67</v>
      </c>
      <c r="L565" s="2" t="s">
        <v>21</v>
      </c>
      <c r="M565" s="2" t="n">
        <v>3.9</v>
      </c>
    </row>
    <row r="566" customFormat="false" ht="15" hidden="false" customHeight="false" outlineLevel="0" collapsed="false">
      <c r="A566" s="2" t="s">
        <v>1206</v>
      </c>
      <c r="B566" s="2" t="n">
        <v>33</v>
      </c>
      <c r="C566" s="2" t="s">
        <v>14</v>
      </c>
      <c r="D566" s="2" t="s">
        <v>31</v>
      </c>
      <c r="E566" s="2" t="s">
        <v>24</v>
      </c>
      <c r="F566" s="2" t="s">
        <v>147</v>
      </c>
      <c r="G566" s="2" t="s">
        <v>77</v>
      </c>
      <c r="H566" s="2" t="s">
        <v>341</v>
      </c>
      <c r="I566" s="2" t="s">
        <v>496</v>
      </c>
      <c r="J566" s="2" t="n">
        <v>6</v>
      </c>
      <c r="K566" s="2" t="n">
        <v>17776.95</v>
      </c>
      <c r="L566" s="2" t="s">
        <v>57</v>
      </c>
      <c r="M566" s="2" t="n">
        <v>2.5</v>
      </c>
    </row>
    <row r="567" customFormat="false" ht="15" hidden="false" customHeight="false" outlineLevel="0" collapsed="false">
      <c r="A567" s="2" t="s">
        <v>1207</v>
      </c>
      <c r="B567" s="2" t="n">
        <v>41</v>
      </c>
      <c r="C567" s="2" t="s">
        <v>14</v>
      </c>
      <c r="D567" s="2" t="s">
        <v>64</v>
      </c>
      <c r="E567" s="2" t="s">
        <v>59</v>
      </c>
      <c r="F567" s="2" t="s">
        <v>202</v>
      </c>
      <c r="G567" s="2" t="s">
        <v>77</v>
      </c>
      <c r="H567" s="2" t="s">
        <v>580</v>
      </c>
      <c r="I567" s="2" t="s">
        <v>779</v>
      </c>
      <c r="J567" s="2" t="n">
        <v>8</v>
      </c>
      <c r="K567" s="2" t="n">
        <v>9242.46</v>
      </c>
      <c r="L567" s="2" t="s">
        <v>57</v>
      </c>
      <c r="M567" s="2" t="n">
        <v>3.3</v>
      </c>
    </row>
    <row r="568" customFormat="false" ht="15" hidden="false" customHeight="false" outlineLevel="0" collapsed="false">
      <c r="A568" s="2" t="s">
        <v>1208</v>
      </c>
      <c r="B568" s="2" t="n">
        <v>59</v>
      </c>
      <c r="C568" s="2" t="s">
        <v>30</v>
      </c>
      <c r="D568" s="2" t="s">
        <v>64</v>
      </c>
      <c r="E568" s="2" t="s">
        <v>42</v>
      </c>
      <c r="F568" s="2" t="s">
        <v>81</v>
      </c>
      <c r="G568" s="2" t="s">
        <v>86</v>
      </c>
      <c r="H568" s="2" t="s">
        <v>312</v>
      </c>
      <c r="I568" s="2" t="s">
        <v>199</v>
      </c>
      <c r="J568" s="2" t="n">
        <v>7</v>
      </c>
      <c r="K568" s="2" t="n">
        <v>6983.27</v>
      </c>
      <c r="L568" s="2" t="s">
        <v>21</v>
      </c>
      <c r="M568" s="2" t="n">
        <v>4.9</v>
      </c>
    </row>
    <row r="569" customFormat="false" ht="15" hidden="false" customHeight="false" outlineLevel="0" collapsed="false">
      <c r="A569" s="2" t="s">
        <v>1209</v>
      </c>
      <c r="B569" s="2" t="n">
        <v>51</v>
      </c>
      <c r="C569" s="2" t="s">
        <v>14</v>
      </c>
      <c r="D569" s="2" t="s">
        <v>52</v>
      </c>
      <c r="E569" s="2" t="s">
        <v>42</v>
      </c>
      <c r="F569" s="2" t="s">
        <v>108</v>
      </c>
      <c r="G569" s="2" t="s">
        <v>18</v>
      </c>
      <c r="H569" s="2" t="s">
        <v>816</v>
      </c>
      <c r="I569" s="2" t="s">
        <v>834</v>
      </c>
      <c r="J569" s="2" t="n">
        <v>2</v>
      </c>
      <c r="K569" s="2" t="n">
        <v>10829.13</v>
      </c>
      <c r="L569" s="2" t="s">
        <v>21</v>
      </c>
      <c r="M569" s="2" t="n">
        <v>3</v>
      </c>
    </row>
    <row r="570" customFormat="false" ht="15" hidden="false" customHeight="false" outlineLevel="0" collapsed="false">
      <c r="A570" s="2" t="s">
        <v>1210</v>
      </c>
      <c r="B570" s="2" t="n">
        <v>31</v>
      </c>
      <c r="C570" s="2" t="s">
        <v>30</v>
      </c>
      <c r="D570" s="2" t="s">
        <v>15</v>
      </c>
      <c r="E570" s="2" t="s">
        <v>42</v>
      </c>
      <c r="F570" s="2" t="s">
        <v>69</v>
      </c>
      <c r="G570" s="2" t="s">
        <v>86</v>
      </c>
      <c r="H570" s="2" t="s">
        <v>102</v>
      </c>
      <c r="I570" s="2" t="s">
        <v>630</v>
      </c>
      <c r="J570" s="2" t="n">
        <v>3</v>
      </c>
      <c r="K570" s="2" t="n">
        <v>8536.3</v>
      </c>
      <c r="L570" s="2" t="s">
        <v>21</v>
      </c>
      <c r="M570" s="2" t="n">
        <v>3.4</v>
      </c>
    </row>
    <row r="571" customFormat="false" ht="15" hidden="false" customHeight="false" outlineLevel="0" collapsed="false">
      <c r="A571" s="2" t="s">
        <v>1211</v>
      </c>
      <c r="B571" s="2" t="n">
        <v>81</v>
      </c>
      <c r="C571" s="2" t="s">
        <v>14</v>
      </c>
      <c r="D571" s="2" t="s">
        <v>31</v>
      </c>
      <c r="E571" s="2" t="s">
        <v>42</v>
      </c>
      <c r="F571" s="2" t="s">
        <v>108</v>
      </c>
      <c r="G571" s="2" t="s">
        <v>33</v>
      </c>
      <c r="H571" s="2" t="s">
        <v>709</v>
      </c>
      <c r="I571" s="2" t="s">
        <v>386</v>
      </c>
      <c r="J571" s="2" t="n">
        <v>4</v>
      </c>
      <c r="K571" s="2" t="n">
        <v>6594.58</v>
      </c>
      <c r="L571" s="2" t="s">
        <v>21</v>
      </c>
      <c r="M571" s="2" t="n">
        <v>1.9</v>
      </c>
    </row>
    <row r="572" customFormat="false" ht="15" hidden="false" customHeight="false" outlineLevel="0" collapsed="false">
      <c r="A572" s="2" t="s">
        <v>1212</v>
      </c>
      <c r="B572" s="2" t="n">
        <v>80</v>
      </c>
      <c r="C572" s="2" t="s">
        <v>30</v>
      </c>
      <c r="D572" s="2" t="s">
        <v>52</v>
      </c>
      <c r="E572" s="2" t="s">
        <v>53</v>
      </c>
      <c r="F572" s="2" t="s">
        <v>154</v>
      </c>
      <c r="G572" s="2" t="s">
        <v>26</v>
      </c>
      <c r="H572" s="2" t="s">
        <v>1180</v>
      </c>
      <c r="I572" s="2" t="s">
        <v>924</v>
      </c>
      <c r="J572" s="2" t="n">
        <v>2</v>
      </c>
      <c r="K572" s="2" t="n">
        <v>5588.74</v>
      </c>
      <c r="L572" s="2" t="s">
        <v>57</v>
      </c>
      <c r="M572" s="2" t="n">
        <v>3.7</v>
      </c>
    </row>
    <row r="573" customFormat="false" ht="15" hidden="false" customHeight="false" outlineLevel="0" collapsed="false">
      <c r="A573" s="2" t="s">
        <v>1213</v>
      </c>
      <c r="B573" s="2" t="n">
        <v>79</v>
      </c>
      <c r="C573" s="2" t="s">
        <v>14</v>
      </c>
      <c r="D573" s="2" t="s">
        <v>23</v>
      </c>
      <c r="E573" s="2" t="s">
        <v>24</v>
      </c>
      <c r="F573" s="2" t="s">
        <v>372</v>
      </c>
      <c r="G573" s="2" t="s">
        <v>33</v>
      </c>
      <c r="H573" s="2" t="s">
        <v>565</v>
      </c>
      <c r="I573" s="2" t="s">
        <v>1214</v>
      </c>
      <c r="J573" s="2" t="n">
        <v>8</v>
      </c>
      <c r="K573" s="2" t="n">
        <v>19155.75</v>
      </c>
      <c r="L573" s="2" t="s">
        <v>119</v>
      </c>
      <c r="M573" s="2"/>
    </row>
    <row r="574" customFormat="false" ht="15" hidden="false" customHeight="false" outlineLevel="0" collapsed="false">
      <c r="A574" s="2" t="s">
        <v>1215</v>
      </c>
      <c r="B574" s="2" t="n">
        <v>29</v>
      </c>
      <c r="C574" s="2" t="s">
        <v>30</v>
      </c>
      <c r="D574" s="2" t="s">
        <v>23</v>
      </c>
      <c r="E574" s="2" t="s">
        <v>59</v>
      </c>
      <c r="F574" s="2" t="s">
        <v>60</v>
      </c>
      <c r="G574" s="2" t="s">
        <v>77</v>
      </c>
      <c r="H574" s="2" t="s">
        <v>553</v>
      </c>
      <c r="I574" s="2" t="s">
        <v>316</v>
      </c>
      <c r="J574" s="2" t="n">
        <v>4</v>
      </c>
      <c r="K574" s="2" t="n">
        <v>7721.04</v>
      </c>
      <c r="L574" s="2" t="s">
        <v>21</v>
      </c>
      <c r="M574" s="2" t="n">
        <v>3.3</v>
      </c>
    </row>
    <row r="575" customFormat="false" ht="15" hidden="false" customHeight="false" outlineLevel="0" collapsed="false">
      <c r="A575" s="2" t="s">
        <v>1216</v>
      </c>
      <c r="B575" s="2" t="n">
        <v>67</v>
      </c>
      <c r="C575" s="2" t="s">
        <v>14</v>
      </c>
      <c r="D575" s="2" t="s">
        <v>15</v>
      </c>
      <c r="E575" s="2" t="s">
        <v>53</v>
      </c>
      <c r="F575" s="2" t="s">
        <v>154</v>
      </c>
      <c r="G575" s="2" t="s">
        <v>48</v>
      </c>
      <c r="H575" s="2" t="s">
        <v>1217</v>
      </c>
      <c r="I575" s="2" t="s">
        <v>1218</v>
      </c>
      <c r="J575" s="2" t="n">
        <v>3</v>
      </c>
      <c r="K575" s="2" t="n">
        <v>4367.64</v>
      </c>
      <c r="L575" s="2" t="s">
        <v>21</v>
      </c>
      <c r="M575" s="2" t="n">
        <v>3.3</v>
      </c>
    </row>
    <row r="576" customFormat="false" ht="15" hidden="false" customHeight="false" outlineLevel="0" collapsed="false">
      <c r="A576" s="2" t="s">
        <v>1219</v>
      </c>
      <c r="B576" s="2" t="n">
        <v>48</v>
      </c>
      <c r="C576" s="2" t="s">
        <v>30</v>
      </c>
      <c r="D576" s="2" t="s">
        <v>52</v>
      </c>
      <c r="E576" s="2" t="s">
        <v>42</v>
      </c>
      <c r="F576" s="2" t="s">
        <v>81</v>
      </c>
      <c r="G576" s="2" t="s">
        <v>77</v>
      </c>
      <c r="H576" s="2" t="s">
        <v>454</v>
      </c>
      <c r="I576" s="2" t="s">
        <v>1220</v>
      </c>
      <c r="J576" s="2" t="n">
        <v>8</v>
      </c>
      <c r="K576" s="2" t="n">
        <v>11021.35</v>
      </c>
      <c r="L576" s="2" t="s">
        <v>119</v>
      </c>
      <c r="M576" s="2"/>
    </row>
    <row r="577" customFormat="false" ht="15" hidden="false" customHeight="false" outlineLevel="0" collapsed="false">
      <c r="A577" s="2" t="s">
        <v>1221</v>
      </c>
      <c r="B577" s="2" t="n">
        <v>20</v>
      </c>
      <c r="C577" s="2" t="s">
        <v>14</v>
      </c>
      <c r="D577" s="2" t="s">
        <v>15</v>
      </c>
      <c r="E577" s="2" t="s">
        <v>42</v>
      </c>
      <c r="F577" s="2" t="s">
        <v>81</v>
      </c>
      <c r="G577" s="2" t="s">
        <v>48</v>
      </c>
      <c r="H577" s="2" t="s">
        <v>339</v>
      </c>
      <c r="I577" s="2" t="s">
        <v>663</v>
      </c>
      <c r="J577" s="2" t="n">
        <v>2</v>
      </c>
      <c r="K577" s="2" t="n">
        <v>9955.95</v>
      </c>
      <c r="L577" s="2" t="s">
        <v>21</v>
      </c>
      <c r="M577" s="2" t="n">
        <v>2.1</v>
      </c>
    </row>
    <row r="578" customFormat="false" ht="15" hidden="false" customHeight="false" outlineLevel="0" collapsed="false">
      <c r="A578" s="2" t="s">
        <v>1222</v>
      </c>
      <c r="B578" s="2" t="n">
        <v>86</v>
      </c>
      <c r="C578" s="2" t="s">
        <v>14</v>
      </c>
      <c r="D578" s="2" t="s">
        <v>23</v>
      </c>
      <c r="E578" s="2" t="s">
        <v>16</v>
      </c>
      <c r="F578" s="2" t="s">
        <v>90</v>
      </c>
      <c r="G578" s="2" t="s">
        <v>86</v>
      </c>
      <c r="H578" s="2" t="s">
        <v>331</v>
      </c>
      <c r="I578" s="2" t="s">
        <v>301</v>
      </c>
      <c r="J578" s="2" t="n">
        <v>4</v>
      </c>
      <c r="K578" s="2" t="n">
        <v>8518.16</v>
      </c>
      <c r="L578" s="2" t="s">
        <v>57</v>
      </c>
      <c r="M578" s="2" t="n">
        <v>3.6</v>
      </c>
    </row>
    <row r="579" customFormat="false" ht="15" hidden="false" customHeight="false" outlineLevel="0" collapsed="false">
      <c r="A579" s="2" t="s">
        <v>1223</v>
      </c>
      <c r="B579" s="2" t="n">
        <v>23</v>
      </c>
      <c r="C579" s="2" t="s">
        <v>14</v>
      </c>
      <c r="D579" s="2" t="s">
        <v>64</v>
      </c>
      <c r="E579" s="2" t="s">
        <v>42</v>
      </c>
      <c r="F579" s="2" t="s">
        <v>43</v>
      </c>
      <c r="G579" s="2" t="s">
        <v>48</v>
      </c>
      <c r="H579" s="2" t="s">
        <v>182</v>
      </c>
      <c r="I579" s="2" t="s">
        <v>874</v>
      </c>
      <c r="J579" s="2" t="n">
        <v>7</v>
      </c>
      <c r="K579" s="2" t="n">
        <v>9522.77</v>
      </c>
      <c r="L579" s="2" t="s">
        <v>21</v>
      </c>
      <c r="M579" s="2" t="n">
        <v>2.4</v>
      </c>
    </row>
    <row r="580" customFormat="false" ht="15" hidden="false" customHeight="false" outlineLevel="0" collapsed="false">
      <c r="A580" s="2" t="s">
        <v>1224</v>
      </c>
      <c r="B580" s="2" t="n">
        <v>26</v>
      </c>
      <c r="C580" s="2" t="s">
        <v>14</v>
      </c>
      <c r="D580" s="2" t="s">
        <v>31</v>
      </c>
      <c r="E580" s="2" t="s">
        <v>53</v>
      </c>
      <c r="F580" s="2" t="s">
        <v>76</v>
      </c>
      <c r="G580" s="2" t="s">
        <v>86</v>
      </c>
      <c r="H580" s="2" t="s">
        <v>898</v>
      </c>
      <c r="I580" s="2" t="s">
        <v>1092</v>
      </c>
      <c r="J580" s="2" t="n">
        <v>1</v>
      </c>
      <c r="K580" s="2" t="n">
        <v>2554.21</v>
      </c>
      <c r="L580" s="2" t="s">
        <v>119</v>
      </c>
      <c r="M580" s="2"/>
    </row>
    <row r="581" customFormat="false" ht="15" hidden="false" customHeight="false" outlineLevel="0" collapsed="false">
      <c r="A581" s="2" t="s">
        <v>1225</v>
      </c>
      <c r="B581" s="2" t="n">
        <v>69</v>
      </c>
      <c r="C581" s="2" t="s">
        <v>30</v>
      </c>
      <c r="D581" s="2" t="s">
        <v>31</v>
      </c>
      <c r="E581" s="2" t="s">
        <v>37</v>
      </c>
      <c r="F581" s="2" t="s">
        <v>151</v>
      </c>
      <c r="G581" s="2" t="s">
        <v>33</v>
      </c>
      <c r="H581" s="2" t="s">
        <v>499</v>
      </c>
      <c r="I581" s="2" t="s">
        <v>923</v>
      </c>
      <c r="J581" s="2" t="n">
        <v>7</v>
      </c>
      <c r="K581" s="2" t="n">
        <v>8431.69</v>
      </c>
      <c r="L581" s="2" t="s">
        <v>21</v>
      </c>
      <c r="M581" s="2" t="n">
        <v>2.5</v>
      </c>
    </row>
    <row r="582" customFormat="false" ht="15" hidden="false" customHeight="false" outlineLevel="0" collapsed="false">
      <c r="A582" s="2" t="s">
        <v>1226</v>
      </c>
      <c r="B582" s="2" t="n">
        <v>33</v>
      </c>
      <c r="C582" s="2" t="s">
        <v>30</v>
      </c>
      <c r="D582" s="2" t="s">
        <v>64</v>
      </c>
      <c r="E582" s="2" t="s">
        <v>53</v>
      </c>
      <c r="F582" s="2" t="s">
        <v>76</v>
      </c>
      <c r="G582" s="2" t="s">
        <v>48</v>
      </c>
      <c r="H582" s="2" t="s">
        <v>1227</v>
      </c>
      <c r="I582" s="2" t="s">
        <v>225</v>
      </c>
      <c r="J582" s="2" t="n">
        <v>1</v>
      </c>
      <c r="K582" s="2" t="n">
        <v>3373.51</v>
      </c>
      <c r="L582" s="2" t="s">
        <v>57</v>
      </c>
      <c r="M582" s="2" t="n">
        <v>4.1</v>
      </c>
    </row>
    <row r="583" customFormat="false" ht="15" hidden="false" customHeight="false" outlineLevel="0" collapsed="false">
      <c r="A583" s="2" t="s">
        <v>1228</v>
      </c>
      <c r="B583" s="2" t="n">
        <v>66</v>
      </c>
      <c r="C583" s="2" t="s">
        <v>14</v>
      </c>
      <c r="D583" s="2" t="s">
        <v>31</v>
      </c>
      <c r="E583" s="2" t="s">
        <v>53</v>
      </c>
      <c r="F583" s="2" t="s">
        <v>154</v>
      </c>
      <c r="G583" s="2" t="s">
        <v>86</v>
      </c>
      <c r="H583" s="2" t="s">
        <v>1229</v>
      </c>
      <c r="I583" s="2" t="s">
        <v>1230</v>
      </c>
      <c r="J583" s="2" t="n">
        <v>2</v>
      </c>
      <c r="K583" s="2" t="n">
        <v>4118.68</v>
      </c>
      <c r="L583" s="2" t="s">
        <v>21</v>
      </c>
      <c r="M583" s="2" t="n">
        <v>4</v>
      </c>
    </row>
    <row r="584" customFormat="false" ht="15" hidden="false" customHeight="false" outlineLevel="0" collapsed="false">
      <c r="A584" s="2" t="s">
        <v>1231</v>
      </c>
      <c r="B584" s="2" t="n">
        <v>54</v>
      </c>
      <c r="C584" s="2" t="s">
        <v>30</v>
      </c>
      <c r="D584" s="2" t="s">
        <v>52</v>
      </c>
      <c r="E584" s="2" t="s">
        <v>37</v>
      </c>
      <c r="F584" s="2" t="s">
        <v>151</v>
      </c>
      <c r="G584" s="2" t="s">
        <v>18</v>
      </c>
      <c r="H584" s="2" t="s">
        <v>661</v>
      </c>
      <c r="I584" s="2" t="s">
        <v>602</v>
      </c>
      <c r="J584" s="2" t="n">
        <v>3</v>
      </c>
      <c r="K584" s="2" t="n">
        <v>5669.54</v>
      </c>
      <c r="L584" s="2" t="s">
        <v>21</v>
      </c>
      <c r="M584" s="2" t="n">
        <v>4.5</v>
      </c>
    </row>
    <row r="585" customFormat="false" ht="15" hidden="false" customHeight="false" outlineLevel="0" collapsed="false">
      <c r="A585" s="2" t="s">
        <v>1232</v>
      </c>
      <c r="B585" s="2" t="n">
        <v>22</v>
      </c>
      <c r="C585" s="2" t="s">
        <v>14</v>
      </c>
      <c r="D585" s="2" t="s">
        <v>52</v>
      </c>
      <c r="E585" s="2" t="s">
        <v>24</v>
      </c>
      <c r="F585" s="2" t="s">
        <v>25</v>
      </c>
      <c r="G585" s="2" t="s">
        <v>48</v>
      </c>
      <c r="H585" s="2" t="s">
        <v>1233</v>
      </c>
      <c r="I585" s="2" t="s">
        <v>248</v>
      </c>
      <c r="J585" s="2" t="n">
        <v>6</v>
      </c>
      <c r="K585" s="2" t="n">
        <v>17234.37</v>
      </c>
      <c r="L585" s="2" t="s">
        <v>21</v>
      </c>
      <c r="M585" s="2" t="n">
        <v>3.6</v>
      </c>
    </row>
    <row r="586" customFormat="false" ht="15" hidden="false" customHeight="false" outlineLevel="0" collapsed="false">
      <c r="A586" s="2" t="s">
        <v>1234</v>
      </c>
      <c r="B586" s="2" t="n">
        <v>33</v>
      </c>
      <c r="C586" s="2" t="s">
        <v>14</v>
      </c>
      <c r="D586" s="2" t="s">
        <v>23</v>
      </c>
      <c r="E586" s="2" t="s">
        <v>59</v>
      </c>
      <c r="F586" s="2" t="s">
        <v>65</v>
      </c>
      <c r="G586" s="2" t="s">
        <v>77</v>
      </c>
      <c r="H586" s="2" t="s">
        <v>303</v>
      </c>
      <c r="I586" s="2" t="s">
        <v>71</v>
      </c>
      <c r="J586" s="2" t="n">
        <v>4</v>
      </c>
      <c r="K586" s="2" t="n">
        <v>7478.77</v>
      </c>
      <c r="L586" s="2" t="s">
        <v>21</v>
      </c>
      <c r="M586" s="2" t="n">
        <v>3.9</v>
      </c>
    </row>
    <row r="587" customFormat="false" ht="15" hidden="false" customHeight="false" outlineLevel="0" collapsed="false">
      <c r="A587" s="2" t="s">
        <v>1235</v>
      </c>
      <c r="B587" s="2" t="n">
        <v>78</v>
      </c>
      <c r="C587" s="2" t="s">
        <v>30</v>
      </c>
      <c r="D587" s="2" t="s">
        <v>64</v>
      </c>
      <c r="E587" s="2" t="s">
        <v>16</v>
      </c>
      <c r="F587" s="2" t="s">
        <v>90</v>
      </c>
      <c r="G587" s="2" t="s">
        <v>86</v>
      </c>
      <c r="H587" s="2" t="s">
        <v>129</v>
      </c>
      <c r="I587" s="2" t="s">
        <v>130</v>
      </c>
      <c r="J587" s="2" t="n">
        <v>1</v>
      </c>
      <c r="K587" s="2" t="n">
        <v>6950.63</v>
      </c>
      <c r="L587" s="2" t="s">
        <v>21</v>
      </c>
      <c r="M587" s="2" t="n">
        <v>4.1</v>
      </c>
    </row>
    <row r="588" customFormat="false" ht="15" hidden="false" customHeight="false" outlineLevel="0" collapsed="false">
      <c r="A588" s="2" t="s">
        <v>1236</v>
      </c>
      <c r="B588" s="2" t="n">
        <v>76</v>
      </c>
      <c r="C588" s="2" t="s">
        <v>14</v>
      </c>
      <c r="D588" s="2" t="s">
        <v>31</v>
      </c>
      <c r="E588" s="2" t="s">
        <v>37</v>
      </c>
      <c r="F588" s="2" t="s">
        <v>158</v>
      </c>
      <c r="G588" s="2" t="s">
        <v>26</v>
      </c>
      <c r="H588" s="2" t="s">
        <v>228</v>
      </c>
      <c r="I588" s="2" t="s">
        <v>229</v>
      </c>
      <c r="J588" s="2" t="n">
        <v>6</v>
      </c>
      <c r="K588" s="2" t="n">
        <v>8123.8</v>
      </c>
      <c r="L588" s="2" t="s">
        <v>21</v>
      </c>
      <c r="M588" s="2" t="n">
        <v>4</v>
      </c>
    </row>
    <row r="589" customFormat="false" ht="15" hidden="false" customHeight="false" outlineLevel="0" collapsed="false">
      <c r="A589" s="2" t="s">
        <v>1237</v>
      </c>
      <c r="B589" s="2" t="n">
        <v>74</v>
      </c>
      <c r="C589" s="2" t="s">
        <v>30</v>
      </c>
      <c r="D589" s="2" t="s">
        <v>52</v>
      </c>
      <c r="E589" s="2" t="s">
        <v>16</v>
      </c>
      <c r="F589" s="2" t="s">
        <v>47</v>
      </c>
      <c r="G589" s="2" t="s">
        <v>18</v>
      </c>
      <c r="H589" s="2" t="s">
        <v>1238</v>
      </c>
      <c r="I589" s="2" t="s">
        <v>545</v>
      </c>
      <c r="J589" s="2" t="n">
        <v>5</v>
      </c>
      <c r="K589" s="2" t="n">
        <v>8898.84</v>
      </c>
      <c r="L589" s="2" t="s">
        <v>97</v>
      </c>
      <c r="M589" s="2" t="n">
        <v>3.8</v>
      </c>
    </row>
    <row r="590" customFormat="false" ht="15" hidden="false" customHeight="false" outlineLevel="0" collapsed="false">
      <c r="A590" s="2" t="s">
        <v>1239</v>
      </c>
      <c r="B590" s="2" t="n">
        <v>43</v>
      </c>
      <c r="C590" s="2" t="s">
        <v>30</v>
      </c>
      <c r="D590" s="2" t="s">
        <v>64</v>
      </c>
      <c r="E590" s="2" t="s">
        <v>42</v>
      </c>
      <c r="F590" s="2" t="s">
        <v>108</v>
      </c>
      <c r="G590" s="2" t="s">
        <v>26</v>
      </c>
      <c r="H590" s="2" t="s">
        <v>1240</v>
      </c>
      <c r="I590" s="2" t="s">
        <v>290</v>
      </c>
      <c r="J590" s="2" t="n">
        <v>6</v>
      </c>
      <c r="K590" s="2" t="n">
        <v>11509.06</v>
      </c>
      <c r="L590" s="2" t="s">
        <v>21</v>
      </c>
      <c r="M590" s="2" t="n">
        <v>3.2</v>
      </c>
    </row>
    <row r="591" customFormat="false" ht="15" hidden="false" customHeight="false" outlineLevel="0" collapsed="false">
      <c r="A591" s="2" t="s">
        <v>1241</v>
      </c>
      <c r="B591" s="2" t="n">
        <v>65</v>
      </c>
      <c r="C591" s="2" t="s">
        <v>14</v>
      </c>
      <c r="D591" s="2" t="s">
        <v>52</v>
      </c>
      <c r="E591" s="2" t="s">
        <v>37</v>
      </c>
      <c r="F591" s="2" t="s">
        <v>151</v>
      </c>
      <c r="G591" s="2" t="s">
        <v>48</v>
      </c>
      <c r="H591" s="2" t="s">
        <v>309</v>
      </c>
      <c r="I591" s="2" t="s">
        <v>310</v>
      </c>
      <c r="J591" s="2" t="n">
        <v>4</v>
      </c>
      <c r="K591" s="2" t="n">
        <v>7830.69</v>
      </c>
      <c r="L591" s="2" t="s">
        <v>21</v>
      </c>
      <c r="M591" s="2" t="n">
        <v>3.5</v>
      </c>
    </row>
    <row r="592" customFormat="false" ht="15" hidden="false" customHeight="false" outlineLevel="0" collapsed="false">
      <c r="A592" s="2" t="s">
        <v>1242</v>
      </c>
      <c r="B592" s="2" t="n">
        <v>90</v>
      </c>
      <c r="C592" s="2" t="s">
        <v>14</v>
      </c>
      <c r="D592" s="2" t="s">
        <v>15</v>
      </c>
      <c r="E592" s="2" t="s">
        <v>16</v>
      </c>
      <c r="F592" s="2" t="s">
        <v>90</v>
      </c>
      <c r="G592" s="2" t="s">
        <v>77</v>
      </c>
      <c r="H592" s="2" t="s">
        <v>347</v>
      </c>
      <c r="I592" s="2" t="s">
        <v>1243</v>
      </c>
      <c r="J592" s="2" t="n">
        <v>2</v>
      </c>
      <c r="K592" s="2" t="n">
        <v>9196.32</v>
      </c>
      <c r="L592" s="2" t="s">
        <v>21</v>
      </c>
      <c r="M592" s="2" t="n">
        <v>3.6</v>
      </c>
    </row>
    <row r="593" customFormat="false" ht="15" hidden="false" customHeight="false" outlineLevel="0" collapsed="false">
      <c r="A593" s="2" t="s">
        <v>1244</v>
      </c>
      <c r="B593" s="2" t="n">
        <v>39</v>
      </c>
      <c r="C593" s="2" t="s">
        <v>14</v>
      </c>
      <c r="D593" s="2" t="s">
        <v>31</v>
      </c>
      <c r="E593" s="2" t="s">
        <v>53</v>
      </c>
      <c r="F593" s="2" t="s">
        <v>253</v>
      </c>
      <c r="G593" s="2" t="s">
        <v>18</v>
      </c>
      <c r="H593" s="2" t="s">
        <v>1245</v>
      </c>
      <c r="I593" s="2" t="s">
        <v>402</v>
      </c>
      <c r="J593" s="2" t="n">
        <v>2</v>
      </c>
      <c r="K593" s="2" t="n">
        <v>3296.45</v>
      </c>
      <c r="L593" s="2" t="s">
        <v>21</v>
      </c>
      <c r="M593" s="2" t="n">
        <v>3.8</v>
      </c>
    </row>
    <row r="594" customFormat="false" ht="15" hidden="false" customHeight="false" outlineLevel="0" collapsed="false">
      <c r="A594" s="2" t="s">
        <v>1246</v>
      </c>
      <c r="B594" s="2" t="n">
        <v>72</v>
      </c>
      <c r="C594" s="2" t="s">
        <v>14</v>
      </c>
      <c r="D594" s="2" t="s">
        <v>64</v>
      </c>
      <c r="E594" s="2" t="s">
        <v>59</v>
      </c>
      <c r="F594" s="2" t="s">
        <v>85</v>
      </c>
      <c r="G594" s="2" t="s">
        <v>26</v>
      </c>
      <c r="H594" s="2" t="s">
        <v>655</v>
      </c>
      <c r="I594" s="2" t="s">
        <v>1181</v>
      </c>
      <c r="J594" s="2" t="n">
        <v>8</v>
      </c>
      <c r="K594" s="2" t="n">
        <v>8855.71</v>
      </c>
      <c r="L594" s="2" t="s">
        <v>21</v>
      </c>
      <c r="M594" s="2" t="n">
        <v>3.3</v>
      </c>
    </row>
    <row r="595" customFormat="false" ht="15" hidden="false" customHeight="false" outlineLevel="0" collapsed="false">
      <c r="A595" s="2" t="s">
        <v>1247</v>
      </c>
      <c r="B595" s="2" t="n">
        <v>23</v>
      </c>
      <c r="C595" s="2" t="s">
        <v>14</v>
      </c>
      <c r="D595" s="2" t="s">
        <v>52</v>
      </c>
      <c r="E595" s="2" t="s">
        <v>37</v>
      </c>
      <c r="F595" s="2" t="s">
        <v>158</v>
      </c>
      <c r="G595" s="2" t="s">
        <v>77</v>
      </c>
      <c r="H595" s="2" t="s">
        <v>383</v>
      </c>
      <c r="I595" s="2" t="s">
        <v>384</v>
      </c>
      <c r="J595" s="2" t="n">
        <v>4</v>
      </c>
      <c r="K595" s="2" t="n">
        <v>5521.92</v>
      </c>
      <c r="L595" s="2" t="s">
        <v>21</v>
      </c>
      <c r="M595" s="2" t="n">
        <v>4.4</v>
      </c>
    </row>
    <row r="596" customFormat="false" ht="15" hidden="false" customHeight="false" outlineLevel="0" collapsed="false">
      <c r="A596" s="2" t="s">
        <v>1248</v>
      </c>
      <c r="B596" s="2" t="n">
        <v>30</v>
      </c>
      <c r="C596" s="2" t="s">
        <v>30</v>
      </c>
      <c r="D596" s="2" t="s">
        <v>52</v>
      </c>
      <c r="E596" s="2" t="s">
        <v>16</v>
      </c>
      <c r="F596" s="2" t="s">
        <v>90</v>
      </c>
      <c r="G596" s="2" t="s">
        <v>26</v>
      </c>
      <c r="H596" s="2" t="s">
        <v>733</v>
      </c>
      <c r="I596" s="2" t="s">
        <v>729</v>
      </c>
      <c r="J596" s="2" t="n">
        <v>2</v>
      </c>
      <c r="K596" s="2" t="n">
        <v>6621.61</v>
      </c>
      <c r="L596" s="2" t="s">
        <v>21</v>
      </c>
      <c r="M596" s="2" t="n">
        <v>3.4</v>
      </c>
    </row>
    <row r="597" customFormat="false" ht="15" hidden="false" customHeight="false" outlineLevel="0" collapsed="false">
      <c r="A597" s="2" t="s">
        <v>1249</v>
      </c>
      <c r="B597" s="2" t="n">
        <v>29</v>
      </c>
      <c r="C597" s="2" t="s">
        <v>14</v>
      </c>
      <c r="D597" s="2" t="s">
        <v>52</v>
      </c>
      <c r="E597" s="2" t="s">
        <v>37</v>
      </c>
      <c r="F597" s="2" t="s">
        <v>173</v>
      </c>
      <c r="G597" s="2" t="s">
        <v>18</v>
      </c>
      <c r="H597" s="2" t="s">
        <v>1087</v>
      </c>
      <c r="I597" s="2" t="s">
        <v>1060</v>
      </c>
      <c r="J597" s="2" t="n">
        <v>5</v>
      </c>
      <c r="K597" s="2" t="n">
        <v>6116.66</v>
      </c>
      <c r="L597" s="2" t="s">
        <v>21</v>
      </c>
      <c r="M597" s="2" t="n">
        <v>3.8</v>
      </c>
    </row>
    <row r="598" customFormat="false" ht="15" hidden="false" customHeight="false" outlineLevel="0" collapsed="false">
      <c r="A598" s="2" t="s">
        <v>1250</v>
      </c>
      <c r="B598" s="2" t="n">
        <v>76</v>
      </c>
      <c r="C598" s="2" t="s">
        <v>30</v>
      </c>
      <c r="D598" s="2" t="s">
        <v>64</v>
      </c>
      <c r="E598" s="2" t="s">
        <v>37</v>
      </c>
      <c r="F598" s="2" t="s">
        <v>38</v>
      </c>
      <c r="G598" s="2" t="s">
        <v>18</v>
      </c>
      <c r="H598" s="2" t="s">
        <v>225</v>
      </c>
      <c r="I598" s="2" t="s">
        <v>695</v>
      </c>
      <c r="J598" s="2" t="n">
        <v>3</v>
      </c>
      <c r="K598" s="2" t="n">
        <v>5472.74</v>
      </c>
      <c r="L598" s="2" t="s">
        <v>21</v>
      </c>
      <c r="M598" s="2" t="n">
        <v>3.2</v>
      </c>
    </row>
    <row r="599" customFormat="false" ht="15" hidden="false" customHeight="false" outlineLevel="0" collapsed="false">
      <c r="A599" s="2" t="s">
        <v>1251</v>
      </c>
      <c r="B599" s="2" t="n">
        <v>60</v>
      </c>
      <c r="C599" s="2" t="s">
        <v>14</v>
      </c>
      <c r="D599" s="2" t="s">
        <v>15</v>
      </c>
      <c r="E599" s="2" t="s">
        <v>53</v>
      </c>
      <c r="F599" s="2" t="s">
        <v>54</v>
      </c>
      <c r="G599" s="2" t="s">
        <v>48</v>
      </c>
      <c r="H599" s="2" t="s">
        <v>521</v>
      </c>
      <c r="I599" s="2" t="s">
        <v>1252</v>
      </c>
      <c r="J599" s="2" t="n">
        <v>1</v>
      </c>
      <c r="K599" s="2" t="n">
        <v>2501.75</v>
      </c>
      <c r="L599" s="2" t="s">
        <v>97</v>
      </c>
      <c r="M599" s="2" t="n">
        <v>3.4</v>
      </c>
    </row>
    <row r="600" customFormat="false" ht="15" hidden="false" customHeight="false" outlineLevel="0" collapsed="false">
      <c r="A600" s="2" t="s">
        <v>1253</v>
      </c>
      <c r="B600" s="2" t="n">
        <v>28</v>
      </c>
      <c r="C600" s="2" t="s">
        <v>30</v>
      </c>
      <c r="D600" s="2" t="s">
        <v>31</v>
      </c>
      <c r="E600" s="2" t="s">
        <v>24</v>
      </c>
      <c r="F600" s="2" t="s">
        <v>372</v>
      </c>
      <c r="G600" s="2" t="s">
        <v>86</v>
      </c>
      <c r="H600" s="2" t="s">
        <v>376</v>
      </c>
      <c r="I600" s="2" t="s">
        <v>878</v>
      </c>
      <c r="J600" s="2" t="n">
        <v>5</v>
      </c>
      <c r="K600" s="2" t="n">
        <v>19252.32</v>
      </c>
      <c r="L600" s="2" t="s">
        <v>21</v>
      </c>
      <c r="M600" s="2" t="n">
        <v>2.9</v>
      </c>
    </row>
    <row r="601" customFormat="false" ht="15" hidden="false" customHeight="false" outlineLevel="0" collapsed="false">
      <c r="A601" s="2" t="s">
        <v>1254</v>
      </c>
      <c r="B601" s="2" t="n">
        <v>26</v>
      </c>
      <c r="C601" s="2" t="s">
        <v>14</v>
      </c>
      <c r="D601" s="2" t="s">
        <v>64</v>
      </c>
      <c r="E601" s="2" t="s">
        <v>59</v>
      </c>
      <c r="F601" s="2" t="s">
        <v>65</v>
      </c>
      <c r="G601" s="2" t="s">
        <v>26</v>
      </c>
      <c r="H601" s="2" t="s">
        <v>389</v>
      </c>
      <c r="I601" s="2" t="s">
        <v>1117</v>
      </c>
      <c r="J601" s="2" t="n">
        <v>7</v>
      </c>
      <c r="K601" s="2" t="n">
        <v>8281.94</v>
      </c>
      <c r="L601" s="2" t="s">
        <v>57</v>
      </c>
      <c r="M601" s="2" t="n">
        <v>2.5</v>
      </c>
    </row>
    <row r="602" customFormat="false" ht="15" hidden="false" customHeight="false" outlineLevel="0" collapsed="false">
      <c r="A602" s="2" t="s">
        <v>1255</v>
      </c>
      <c r="B602" s="2" t="n">
        <v>44</v>
      </c>
      <c r="C602" s="2" t="s">
        <v>14</v>
      </c>
      <c r="D602" s="2" t="s">
        <v>15</v>
      </c>
      <c r="E602" s="2" t="s">
        <v>59</v>
      </c>
      <c r="F602" s="2" t="s">
        <v>202</v>
      </c>
      <c r="G602" s="2" t="s">
        <v>26</v>
      </c>
      <c r="H602" s="2" t="s">
        <v>564</v>
      </c>
      <c r="I602" s="2" t="s">
        <v>760</v>
      </c>
      <c r="J602" s="2" t="n">
        <v>5</v>
      </c>
      <c r="K602" s="2" t="n">
        <v>9011.89</v>
      </c>
      <c r="L602" s="2" t="s">
        <v>21</v>
      </c>
      <c r="M602" s="2" t="n">
        <v>2.8</v>
      </c>
    </row>
    <row r="603" customFormat="false" ht="15" hidden="false" customHeight="false" outlineLevel="0" collapsed="false">
      <c r="A603" s="2" t="s">
        <v>1256</v>
      </c>
      <c r="B603" s="2" t="n">
        <v>33</v>
      </c>
      <c r="C603" s="2" t="s">
        <v>30</v>
      </c>
      <c r="D603" s="2" t="s">
        <v>23</v>
      </c>
      <c r="E603" s="2" t="s">
        <v>37</v>
      </c>
      <c r="F603" s="2" t="s">
        <v>173</v>
      </c>
      <c r="G603" s="2" t="s">
        <v>77</v>
      </c>
      <c r="H603" s="2" t="s">
        <v>640</v>
      </c>
      <c r="I603" s="2" t="s">
        <v>263</v>
      </c>
      <c r="J603" s="2" t="n">
        <v>5</v>
      </c>
      <c r="K603" s="2" t="n">
        <v>6387.7</v>
      </c>
      <c r="L603" s="2" t="s">
        <v>21</v>
      </c>
      <c r="M603" s="2" t="n">
        <v>4.3</v>
      </c>
    </row>
    <row r="604" customFormat="false" ht="15" hidden="false" customHeight="false" outlineLevel="0" collapsed="false">
      <c r="A604" s="2" t="s">
        <v>1257</v>
      </c>
      <c r="B604" s="2" t="n">
        <v>26</v>
      </c>
      <c r="C604" s="2" t="s">
        <v>14</v>
      </c>
      <c r="D604" s="2" t="s">
        <v>52</v>
      </c>
      <c r="E604" s="2" t="s">
        <v>42</v>
      </c>
      <c r="F604" s="2" t="s">
        <v>69</v>
      </c>
      <c r="G604" s="2" t="s">
        <v>77</v>
      </c>
      <c r="H604" s="2" t="s">
        <v>1258</v>
      </c>
      <c r="I604" s="2" t="s">
        <v>229</v>
      </c>
      <c r="J604" s="2" t="n">
        <v>3</v>
      </c>
      <c r="K604" s="2" t="n">
        <v>13835.59</v>
      </c>
      <c r="L604" s="2" t="s">
        <v>21</v>
      </c>
      <c r="M604" s="2" t="n">
        <v>3.5</v>
      </c>
    </row>
    <row r="605" customFormat="false" ht="15" hidden="false" customHeight="false" outlineLevel="0" collapsed="false">
      <c r="A605" s="2" t="s">
        <v>1259</v>
      </c>
      <c r="B605" s="2" t="n">
        <v>81</v>
      </c>
      <c r="C605" s="2" t="s">
        <v>14</v>
      </c>
      <c r="D605" s="2" t="s">
        <v>64</v>
      </c>
      <c r="E605" s="2" t="s">
        <v>24</v>
      </c>
      <c r="F605" s="2" t="s">
        <v>25</v>
      </c>
      <c r="G605" s="2" t="s">
        <v>33</v>
      </c>
      <c r="H605" s="2" t="s">
        <v>743</v>
      </c>
      <c r="I605" s="2" t="s">
        <v>1260</v>
      </c>
      <c r="J605" s="2" t="n">
        <v>11</v>
      </c>
      <c r="K605" s="2" t="n">
        <v>23077.92</v>
      </c>
      <c r="L605" s="2" t="s">
        <v>21</v>
      </c>
      <c r="M605" s="2" t="n">
        <v>3.1</v>
      </c>
    </row>
    <row r="606" customFormat="false" ht="15" hidden="false" customHeight="false" outlineLevel="0" collapsed="false">
      <c r="A606" s="2" t="s">
        <v>1261</v>
      </c>
      <c r="B606" s="2" t="n">
        <v>62</v>
      </c>
      <c r="C606" s="2" t="s">
        <v>30</v>
      </c>
      <c r="D606" s="2" t="s">
        <v>52</v>
      </c>
      <c r="E606" s="2" t="s">
        <v>37</v>
      </c>
      <c r="F606" s="2" t="s">
        <v>158</v>
      </c>
      <c r="G606" s="2" t="s">
        <v>33</v>
      </c>
      <c r="H606" s="2" t="s">
        <v>283</v>
      </c>
      <c r="I606" s="2" t="s">
        <v>614</v>
      </c>
      <c r="J606" s="2" t="n">
        <v>9</v>
      </c>
      <c r="K606" s="2" t="n">
        <v>9959.03</v>
      </c>
      <c r="L606" s="2" t="s">
        <v>21</v>
      </c>
      <c r="M606" s="2" t="n">
        <v>4.3</v>
      </c>
    </row>
    <row r="607" customFormat="false" ht="15" hidden="false" customHeight="false" outlineLevel="0" collapsed="false">
      <c r="A607" s="2" t="s">
        <v>1262</v>
      </c>
      <c r="B607" s="2" t="n">
        <v>70</v>
      </c>
      <c r="C607" s="2" t="s">
        <v>30</v>
      </c>
      <c r="D607" s="2" t="s">
        <v>15</v>
      </c>
      <c r="E607" s="2" t="s">
        <v>53</v>
      </c>
      <c r="F607" s="2" t="s">
        <v>253</v>
      </c>
      <c r="G607" s="2" t="s">
        <v>77</v>
      </c>
      <c r="H607" s="2" t="s">
        <v>740</v>
      </c>
      <c r="I607" s="2" t="s">
        <v>672</v>
      </c>
      <c r="J607" s="2" t="n">
        <v>1</v>
      </c>
      <c r="K607" s="2" t="n">
        <v>2352.02</v>
      </c>
      <c r="L607" s="2" t="s">
        <v>21</v>
      </c>
      <c r="M607" s="2" t="n">
        <v>3.1</v>
      </c>
    </row>
    <row r="608" customFormat="false" ht="15" hidden="false" customHeight="false" outlineLevel="0" collapsed="false">
      <c r="A608" s="2" t="s">
        <v>1263</v>
      </c>
      <c r="B608" s="2" t="n">
        <v>51</v>
      </c>
      <c r="C608" s="2" t="s">
        <v>14</v>
      </c>
      <c r="D608" s="2" t="s">
        <v>52</v>
      </c>
      <c r="E608" s="2" t="s">
        <v>59</v>
      </c>
      <c r="F608" s="2" t="s">
        <v>202</v>
      </c>
      <c r="G608" s="2" t="s">
        <v>86</v>
      </c>
      <c r="H608" s="2" t="s">
        <v>970</v>
      </c>
      <c r="I608" s="2" t="s">
        <v>709</v>
      </c>
      <c r="J608" s="2" t="n">
        <v>4</v>
      </c>
      <c r="K608" s="2" t="n">
        <v>9596.43</v>
      </c>
      <c r="L608" s="2" t="s">
        <v>21</v>
      </c>
      <c r="M608" s="2" t="n">
        <v>4.6</v>
      </c>
    </row>
    <row r="609" customFormat="false" ht="15" hidden="false" customHeight="false" outlineLevel="0" collapsed="false">
      <c r="A609" s="2" t="s">
        <v>1264</v>
      </c>
      <c r="B609" s="2" t="n">
        <v>54</v>
      </c>
      <c r="C609" s="2" t="s">
        <v>14</v>
      </c>
      <c r="D609" s="2" t="s">
        <v>64</v>
      </c>
      <c r="E609" s="2" t="s">
        <v>37</v>
      </c>
      <c r="F609" s="2" t="s">
        <v>151</v>
      </c>
      <c r="G609" s="2" t="s">
        <v>18</v>
      </c>
      <c r="H609" s="2" t="s">
        <v>434</v>
      </c>
      <c r="I609" s="2" t="s">
        <v>685</v>
      </c>
      <c r="J609" s="2" t="n">
        <v>3</v>
      </c>
      <c r="K609" s="2" t="n">
        <v>9301.64</v>
      </c>
      <c r="L609" s="2" t="s">
        <v>21</v>
      </c>
      <c r="M609" s="2" t="n">
        <v>5</v>
      </c>
    </row>
    <row r="610" customFormat="false" ht="15" hidden="false" customHeight="false" outlineLevel="0" collapsed="false">
      <c r="A610" s="2" t="s">
        <v>1265</v>
      </c>
      <c r="B610" s="2" t="n">
        <v>74</v>
      </c>
      <c r="C610" s="2" t="s">
        <v>30</v>
      </c>
      <c r="D610" s="2" t="s">
        <v>15</v>
      </c>
      <c r="E610" s="2" t="s">
        <v>16</v>
      </c>
      <c r="F610" s="2" t="s">
        <v>17</v>
      </c>
      <c r="G610" s="2" t="s">
        <v>26</v>
      </c>
      <c r="H610" s="2" t="s">
        <v>1266</v>
      </c>
      <c r="I610" s="2" t="s">
        <v>1267</v>
      </c>
      <c r="J610" s="2" t="n">
        <v>6</v>
      </c>
      <c r="K610" s="2" t="n">
        <v>9871.88</v>
      </c>
      <c r="L610" s="2" t="s">
        <v>21</v>
      </c>
      <c r="M610" s="2" t="n">
        <v>2.9</v>
      </c>
    </row>
    <row r="611" customFormat="false" ht="15" hidden="false" customHeight="false" outlineLevel="0" collapsed="false">
      <c r="A611" s="2" t="s">
        <v>1268</v>
      </c>
      <c r="B611" s="2" t="n">
        <v>38</v>
      </c>
      <c r="C611" s="2" t="s">
        <v>30</v>
      </c>
      <c r="D611" s="2" t="s">
        <v>31</v>
      </c>
      <c r="E611" s="2" t="s">
        <v>42</v>
      </c>
      <c r="F611" s="2" t="s">
        <v>108</v>
      </c>
      <c r="G611" s="2" t="s">
        <v>77</v>
      </c>
      <c r="H611" s="2" t="s">
        <v>301</v>
      </c>
      <c r="I611" s="2" t="s">
        <v>1269</v>
      </c>
      <c r="J611" s="2" t="n">
        <v>6</v>
      </c>
      <c r="K611" s="2" t="n">
        <v>14589.9</v>
      </c>
      <c r="L611" s="2" t="s">
        <v>21</v>
      </c>
      <c r="M611" s="2" t="n">
        <v>3</v>
      </c>
    </row>
    <row r="612" customFormat="false" ht="15" hidden="false" customHeight="false" outlineLevel="0" collapsed="false">
      <c r="A612" s="2" t="s">
        <v>1270</v>
      </c>
      <c r="B612" s="2" t="n">
        <v>87</v>
      </c>
      <c r="C612" s="2" t="s">
        <v>30</v>
      </c>
      <c r="D612" s="2" t="s">
        <v>15</v>
      </c>
      <c r="E612" s="2" t="s">
        <v>53</v>
      </c>
      <c r="F612" s="2" t="s">
        <v>54</v>
      </c>
      <c r="G612" s="2" t="s">
        <v>26</v>
      </c>
      <c r="H612" s="2" t="s">
        <v>581</v>
      </c>
      <c r="I612" s="2" t="s">
        <v>1271</v>
      </c>
      <c r="J612" s="2" t="n">
        <v>4</v>
      </c>
      <c r="K612" s="2" t="n">
        <v>5459.27</v>
      </c>
      <c r="L612" s="2" t="s">
        <v>57</v>
      </c>
      <c r="M612" s="2" t="n">
        <v>2.6</v>
      </c>
    </row>
    <row r="613" customFormat="false" ht="15" hidden="false" customHeight="false" outlineLevel="0" collapsed="false">
      <c r="A613" s="2" t="s">
        <v>1272</v>
      </c>
      <c r="B613" s="2" t="n">
        <v>79</v>
      </c>
      <c r="C613" s="2" t="s">
        <v>14</v>
      </c>
      <c r="D613" s="2" t="s">
        <v>64</v>
      </c>
      <c r="E613" s="2" t="s">
        <v>37</v>
      </c>
      <c r="F613" s="2" t="s">
        <v>158</v>
      </c>
      <c r="G613" s="2" t="s">
        <v>33</v>
      </c>
      <c r="H613" s="2" t="s">
        <v>862</v>
      </c>
      <c r="I613" s="2" t="s">
        <v>285</v>
      </c>
      <c r="J613" s="2" t="n">
        <v>6</v>
      </c>
      <c r="K613" s="2" t="n">
        <v>6181.13</v>
      </c>
      <c r="L613" s="2" t="s">
        <v>21</v>
      </c>
      <c r="M613" s="2" t="n">
        <v>4.3</v>
      </c>
    </row>
    <row r="614" customFormat="false" ht="15" hidden="false" customHeight="false" outlineLevel="0" collapsed="false">
      <c r="A614" s="2" t="s">
        <v>1273</v>
      </c>
      <c r="B614" s="2" t="n">
        <v>29</v>
      </c>
      <c r="C614" s="2" t="s">
        <v>30</v>
      </c>
      <c r="D614" s="2" t="s">
        <v>31</v>
      </c>
      <c r="E614" s="2" t="s">
        <v>24</v>
      </c>
      <c r="F614" s="2" t="s">
        <v>147</v>
      </c>
      <c r="G614" s="2" t="s">
        <v>26</v>
      </c>
      <c r="H614" s="2" t="s">
        <v>587</v>
      </c>
      <c r="I614" s="2" t="s">
        <v>384</v>
      </c>
      <c r="J614" s="2" t="n">
        <v>8</v>
      </c>
      <c r="K614" s="2" t="n">
        <v>25120.13</v>
      </c>
      <c r="L614" s="2" t="s">
        <v>21</v>
      </c>
      <c r="M614" s="2" t="n">
        <v>4.3</v>
      </c>
    </row>
    <row r="615" customFormat="false" ht="15" hidden="false" customHeight="false" outlineLevel="0" collapsed="false">
      <c r="A615" s="2" t="s">
        <v>1274</v>
      </c>
      <c r="B615" s="2" t="n">
        <v>75</v>
      </c>
      <c r="C615" s="2" t="s">
        <v>14</v>
      </c>
      <c r="D615" s="2" t="s">
        <v>23</v>
      </c>
      <c r="E615" s="2" t="s">
        <v>53</v>
      </c>
      <c r="F615" s="2" t="s">
        <v>76</v>
      </c>
      <c r="G615" s="2" t="s">
        <v>77</v>
      </c>
      <c r="H615" s="2" t="s">
        <v>769</v>
      </c>
      <c r="I615" s="2" t="s">
        <v>276</v>
      </c>
      <c r="J615" s="2" t="n">
        <v>3</v>
      </c>
      <c r="K615" s="2" t="n">
        <v>3789.27</v>
      </c>
      <c r="L615" s="2" t="s">
        <v>21</v>
      </c>
      <c r="M615" s="2" t="n">
        <v>3.1</v>
      </c>
    </row>
    <row r="616" customFormat="false" ht="15" hidden="false" customHeight="false" outlineLevel="0" collapsed="false">
      <c r="A616" s="2" t="s">
        <v>1275</v>
      </c>
      <c r="B616" s="2" t="n">
        <v>64</v>
      </c>
      <c r="C616" s="2" t="s">
        <v>30</v>
      </c>
      <c r="D616" s="2" t="s">
        <v>64</v>
      </c>
      <c r="E616" s="2" t="s">
        <v>37</v>
      </c>
      <c r="F616" s="2" t="s">
        <v>38</v>
      </c>
      <c r="G616" s="2" t="s">
        <v>33</v>
      </c>
      <c r="H616" s="2" t="s">
        <v>313</v>
      </c>
      <c r="I616" s="2" t="s">
        <v>934</v>
      </c>
      <c r="J616" s="2" t="n">
        <v>4</v>
      </c>
      <c r="K616" s="2" t="n">
        <v>7745.27</v>
      </c>
      <c r="L616" s="2" t="s">
        <v>21</v>
      </c>
      <c r="M616" s="2" t="n">
        <v>5</v>
      </c>
    </row>
    <row r="617" customFormat="false" ht="15" hidden="false" customHeight="false" outlineLevel="0" collapsed="false">
      <c r="A617" s="2" t="s">
        <v>1276</v>
      </c>
      <c r="B617" s="2" t="n">
        <v>29</v>
      </c>
      <c r="C617" s="2" t="s">
        <v>14</v>
      </c>
      <c r="D617" s="2" t="s">
        <v>52</v>
      </c>
      <c r="E617" s="2" t="s">
        <v>37</v>
      </c>
      <c r="F617" s="2" t="s">
        <v>38</v>
      </c>
      <c r="G617" s="2" t="s">
        <v>77</v>
      </c>
      <c r="H617" s="2" t="s">
        <v>1027</v>
      </c>
      <c r="I617" s="2" t="s">
        <v>644</v>
      </c>
      <c r="J617" s="2" t="n">
        <v>3</v>
      </c>
      <c r="K617" s="2" t="n">
        <v>7615.15</v>
      </c>
      <c r="L617" s="2" t="s">
        <v>57</v>
      </c>
      <c r="M617" s="2" t="n">
        <v>4.6</v>
      </c>
    </row>
    <row r="618" customFormat="false" ht="15" hidden="false" customHeight="false" outlineLevel="0" collapsed="false">
      <c r="A618" s="2" t="s">
        <v>1277</v>
      </c>
      <c r="B618" s="2" t="n">
        <v>71</v>
      </c>
      <c r="C618" s="2" t="s">
        <v>14</v>
      </c>
      <c r="D618" s="2" t="s">
        <v>23</v>
      </c>
      <c r="E618" s="2" t="s">
        <v>24</v>
      </c>
      <c r="F618" s="2" t="s">
        <v>25</v>
      </c>
      <c r="G618" s="2" t="s">
        <v>18</v>
      </c>
      <c r="H618" s="2" t="s">
        <v>794</v>
      </c>
      <c r="I618" s="2" t="s">
        <v>499</v>
      </c>
      <c r="J618" s="2" t="n">
        <v>6</v>
      </c>
      <c r="K618" s="2" t="n">
        <v>25858.9</v>
      </c>
      <c r="L618" s="2" t="s">
        <v>21</v>
      </c>
      <c r="M618" s="2" t="n">
        <v>2.7</v>
      </c>
    </row>
    <row r="619" customFormat="false" ht="15" hidden="false" customHeight="false" outlineLevel="0" collapsed="false">
      <c r="A619" s="2" t="s">
        <v>1278</v>
      </c>
      <c r="B619" s="2" t="n">
        <v>66</v>
      </c>
      <c r="C619" s="2" t="s">
        <v>14</v>
      </c>
      <c r="D619" s="2" t="s">
        <v>31</v>
      </c>
      <c r="E619" s="2" t="s">
        <v>53</v>
      </c>
      <c r="F619" s="2" t="s">
        <v>54</v>
      </c>
      <c r="G619" s="2" t="s">
        <v>77</v>
      </c>
      <c r="H619" s="2" t="s">
        <v>1279</v>
      </c>
      <c r="I619" s="2" t="s">
        <v>1193</v>
      </c>
      <c r="J619" s="2" t="n">
        <v>6</v>
      </c>
      <c r="K619" s="2" t="n">
        <v>4653.96</v>
      </c>
      <c r="L619" s="2" t="s">
        <v>97</v>
      </c>
      <c r="M619" s="2" t="n">
        <v>3.1</v>
      </c>
    </row>
    <row r="620" customFormat="false" ht="15" hidden="false" customHeight="false" outlineLevel="0" collapsed="false">
      <c r="A620" s="2" t="s">
        <v>1280</v>
      </c>
      <c r="B620" s="2" t="n">
        <v>35</v>
      </c>
      <c r="C620" s="2" t="s">
        <v>14</v>
      </c>
      <c r="D620" s="2" t="s">
        <v>64</v>
      </c>
      <c r="E620" s="2" t="s">
        <v>53</v>
      </c>
      <c r="F620" s="2" t="s">
        <v>54</v>
      </c>
      <c r="G620" s="2" t="s">
        <v>26</v>
      </c>
      <c r="H620" s="2" t="s">
        <v>290</v>
      </c>
      <c r="I620" s="2" t="s">
        <v>1281</v>
      </c>
      <c r="J620" s="2" t="n">
        <v>5</v>
      </c>
      <c r="K620" s="2" t="n">
        <v>5514.02</v>
      </c>
      <c r="L620" s="2" t="s">
        <v>57</v>
      </c>
      <c r="M620" s="2" t="n">
        <v>3.3</v>
      </c>
    </row>
    <row r="621" customFormat="false" ht="15" hidden="false" customHeight="false" outlineLevel="0" collapsed="false">
      <c r="A621" s="2" t="s">
        <v>1282</v>
      </c>
      <c r="B621" s="2" t="n">
        <v>77</v>
      </c>
      <c r="C621" s="2" t="s">
        <v>14</v>
      </c>
      <c r="D621" s="2" t="s">
        <v>31</v>
      </c>
      <c r="E621" s="2" t="s">
        <v>42</v>
      </c>
      <c r="F621" s="2" t="s">
        <v>43</v>
      </c>
      <c r="G621" s="2" t="s">
        <v>33</v>
      </c>
      <c r="H621" s="2" t="s">
        <v>429</v>
      </c>
      <c r="I621" s="2" t="s">
        <v>570</v>
      </c>
      <c r="J621" s="2" t="n">
        <v>8</v>
      </c>
      <c r="K621" s="2" t="n">
        <v>14800.8</v>
      </c>
      <c r="L621" s="2" t="s">
        <v>21</v>
      </c>
      <c r="M621" s="2" t="n">
        <v>3</v>
      </c>
    </row>
    <row r="622" customFormat="false" ht="15" hidden="false" customHeight="false" outlineLevel="0" collapsed="false">
      <c r="A622" s="2" t="s">
        <v>1283</v>
      </c>
      <c r="B622" s="2" t="n">
        <v>54</v>
      </c>
      <c r="C622" s="2" t="s">
        <v>30</v>
      </c>
      <c r="D622" s="2" t="s">
        <v>64</v>
      </c>
      <c r="E622" s="2" t="s">
        <v>53</v>
      </c>
      <c r="F622" s="2" t="s">
        <v>76</v>
      </c>
      <c r="G622" s="2" t="s">
        <v>86</v>
      </c>
      <c r="H622" s="2" t="s">
        <v>1284</v>
      </c>
      <c r="I622" s="2" t="s">
        <v>539</v>
      </c>
      <c r="J622" s="2" t="n">
        <v>2</v>
      </c>
      <c r="K622" s="2" t="n">
        <v>3257.19</v>
      </c>
      <c r="L622" s="2" t="s">
        <v>119</v>
      </c>
      <c r="M622" s="2"/>
    </row>
    <row r="623" customFormat="false" ht="15" hidden="false" customHeight="false" outlineLevel="0" collapsed="false">
      <c r="A623" s="2" t="s">
        <v>1285</v>
      </c>
      <c r="B623" s="2" t="n">
        <v>64</v>
      </c>
      <c r="C623" s="2" t="s">
        <v>30</v>
      </c>
      <c r="D623" s="2" t="s">
        <v>23</v>
      </c>
      <c r="E623" s="2" t="s">
        <v>53</v>
      </c>
      <c r="F623" s="2" t="s">
        <v>54</v>
      </c>
      <c r="G623" s="2" t="s">
        <v>48</v>
      </c>
      <c r="H623" s="2" t="s">
        <v>1286</v>
      </c>
      <c r="I623" s="2" t="s">
        <v>50</v>
      </c>
      <c r="J623" s="2" t="n">
        <v>1</v>
      </c>
      <c r="K623" s="2" t="n">
        <v>3747.76</v>
      </c>
      <c r="L623" s="2" t="s">
        <v>21</v>
      </c>
      <c r="M623" s="2" t="n">
        <v>2.8</v>
      </c>
    </row>
    <row r="624" customFormat="false" ht="15" hidden="false" customHeight="false" outlineLevel="0" collapsed="false">
      <c r="A624" s="2" t="s">
        <v>1287</v>
      </c>
      <c r="B624" s="2" t="n">
        <v>51</v>
      </c>
      <c r="C624" s="2" t="s">
        <v>14</v>
      </c>
      <c r="D624" s="2" t="s">
        <v>23</v>
      </c>
      <c r="E624" s="2" t="s">
        <v>42</v>
      </c>
      <c r="F624" s="2" t="s">
        <v>43</v>
      </c>
      <c r="G624" s="2" t="s">
        <v>33</v>
      </c>
      <c r="H624" s="2" t="s">
        <v>941</v>
      </c>
      <c r="I624" s="2" t="s">
        <v>113</v>
      </c>
      <c r="J624" s="2" t="n">
        <v>4</v>
      </c>
      <c r="K624" s="2" t="n">
        <v>10762.06</v>
      </c>
      <c r="L624" s="2" t="s">
        <v>21</v>
      </c>
      <c r="M624" s="2" t="n">
        <v>3.3</v>
      </c>
    </row>
    <row r="625" customFormat="false" ht="15" hidden="false" customHeight="false" outlineLevel="0" collapsed="false">
      <c r="A625" s="2" t="s">
        <v>1288</v>
      </c>
      <c r="B625" s="2" t="n">
        <v>52</v>
      </c>
      <c r="C625" s="2" t="s">
        <v>30</v>
      </c>
      <c r="D625" s="2" t="s">
        <v>52</v>
      </c>
      <c r="E625" s="2" t="s">
        <v>37</v>
      </c>
      <c r="F625" s="2" t="s">
        <v>173</v>
      </c>
      <c r="G625" s="2" t="s">
        <v>86</v>
      </c>
      <c r="H625" s="2" t="s">
        <v>553</v>
      </c>
      <c r="I625" s="2" t="s">
        <v>316</v>
      </c>
      <c r="J625" s="2" t="n">
        <v>4</v>
      </c>
      <c r="K625" s="2" t="n">
        <v>8616.64</v>
      </c>
      <c r="L625" s="2" t="s">
        <v>21</v>
      </c>
      <c r="M625" s="2" t="n">
        <v>3.9</v>
      </c>
    </row>
    <row r="626" customFormat="false" ht="15" hidden="false" customHeight="false" outlineLevel="0" collapsed="false">
      <c r="A626" s="2" t="s">
        <v>1289</v>
      </c>
      <c r="B626" s="2" t="n">
        <v>30</v>
      </c>
      <c r="C626" s="2" t="s">
        <v>14</v>
      </c>
      <c r="D626" s="2" t="s">
        <v>23</v>
      </c>
      <c r="E626" s="2" t="s">
        <v>59</v>
      </c>
      <c r="F626" s="2" t="s">
        <v>202</v>
      </c>
      <c r="G626" s="2" t="s">
        <v>48</v>
      </c>
      <c r="H626" s="2" t="s">
        <v>1233</v>
      </c>
      <c r="I626" s="2" t="s">
        <v>741</v>
      </c>
      <c r="J626" s="2" t="n">
        <v>8</v>
      </c>
      <c r="K626" s="2" t="n">
        <v>9717.11</v>
      </c>
      <c r="L626" s="2" t="s">
        <v>21</v>
      </c>
      <c r="M626" s="2" t="n">
        <v>4.5</v>
      </c>
    </row>
    <row r="627" customFormat="false" ht="15" hidden="false" customHeight="false" outlineLevel="0" collapsed="false">
      <c r="A627" s="2" t="s">
        <v>1290</v>
      </c>
      <c r="B627" s="2" t="n">
        <v>86</v>
      </c>
      <c r="C627" s="2" t="s">
        <v>30</v>
      </c>
      <c r="D627" s="2" t="s">
        <v>64</v>
      </c>
      <c r="E627" s="2" t="s">
        <v>42</v>
      </c>
      <c r="F627" s="2" t="s">
        <v>43</v>
      </c>
      <c r="G627" s="2" t="s">
        <v>26</v>
      </c>
      <c r="H627" s="2" t="s">
        <v>517</v>
      </c>
      <c r="I627" s="2" t="s">
        <v>117</v>
      </c>
      <c r="J627" s="2" t="n">
        <v>4</v>
      </c>
      <c r="K627" s="2" t="n">
        <v>11501.8</v>
      </c>
      <c r="L627" s="2" t="s">
        <v>21</v>
      </c>
      <c r="M627" s="2" t="n">
        <v>3.9</v>
      </c>
    </row>
    <row r="628" customFormat="false" ht="15" hidden="false" customHeight="false" outlineLevel="0" collapsed="false">
      <c r="A628" s="2" t="s">
        <v>1291</v>
      </c>
      <c r="B628" s="2" t="n">
        <v>37</v>
      </c>
      <c r="C628" s="2" t="s">
        <v>14</v>
      </c>
      <c r="D628" s="2" t="s">
        <v>64</v>
      </c>
      <c r="E628" s="2" t="s">
        <v>24</v>
      </c>
      <c r="F628" s="2" t="s">
        <v>25</v>
      </c>
      <c r="G628" s="2" t="s">
        <v>77</v>
      </c>
      <c r="H628" s="2" t="s">
        <v>1243</v>
      </c>
      <c r="I628" s="2" t="s">
        <v>489</v>
      </c>
      <c r="J628" s="2" t="n">
        <v>7</v>
      </c>
      <c r="K628" s="2" t="n">
        <v>19090.52</v>
      </c>
      <c r="L628" s="2" t="s">
        <v>21</v>
      </c>
      <c r="M628" s="2" t="n">
        <v>3.3</v>
      </c>
    </row>
    <row r="629" customFormat="false" ht="15" hidden="false" customHeight="false" outlineLevel="0" collapsed="false">
      <c r="A629" s="2" t="s">
        <v>1292</v>
      </c>
      <c r="B629" s="2" t="n">
        <v>20</v>
      </c>
      <c r="C629" s="2" t="s">
        <v>30</v>
      </c>
      <c r="D629" s="2" t="s">
        <v>15</v>
      </c>
      <c r="E629" s="2" t="s">
        <v>59</v>
      </c>
      <c r="F629" s="2" t="s">
        <v>202</v>
      </c>
      <c r="G629" s="2" t="s">
        <v>18</v>
      </c>
      <c r="H629" s="2" t="s">
        <v>1031</v>
      </c>
      <c r="I629" s="2" t="s">
        <v>1293</v>
      </c>
      <c r="J629" s="2" t="n">
        <v>7</v>
      </c>
      <c r="K629" s="2" t="n">
        <v>8427.79</v>
      </c>
      <c r="L629" s="2" t="s">
        <v>97</v>
      </c>
      <c r="M629" s="2" t="n">
        <v>2.8</v>
      </c>
    </row>
    <row r="630" customFormat="false" ht="15" hidden="false" customHeight="false" outlineLevel="0" collapsed="false">
      <c r="A630" s="2" t="s">
        <v>1294</v>
      </c>
      <c r="B630" s="2" t="n">
        <v>21</v>
      </c>
      <c r="C630" s="2" t="s">
        <v>14</v>
      </c>
      <c r="D630" s="2" t="s">
        <v>64</v>
      </c>
      <c r="E630" s="2" t="s">
        <v>16</v>
      </c>
      <c r="F630" s="2" t="s">
        <v>17</v>
      </c>
      <c r="G630" s="2" t="s">
        <v>48</v>
      </c>
      <c r="H630" s="2" t="s">
        <v>215</v>
      </c>
      <c r="I630" s="2" t="s">
        <v>1295</v>
      </c>
      <c r="J630" s="2" t="n">
        <v>5</v>
      </c>
      <c r="K630" s="2" t="n">
        <v>8851.07</v>
      </c>
      <c r="L630" s="2" t="s">
        <v>119</v>
      </c>
      <c r="M630" s="2"/>
    </row>
    <row r="631" customFormat="false" ht="15" hidden="false" customHeight="false" outlineLevel="0" collapsed="false">
      <c r="A631" s="2" t="s">
        <v>1296</v>
      </c>
      <c r="B631" s="2" t="n">
        <v>72</v>
      </c>
      <c r="C631" s="2" t="s">
        <v>14</v>
      </c>
      <c r="D631" s="2" t="s">
        <v>31</v>
      </c>
      <c r="E631" s="2" t="s">
        <v>42</v>
      </c>
      <c r="F631" s="2" t="s">
        <v>108</v>
      </c>
      <c r="G631" s="2" t="s">
        <v>77</v>
      </c>
      <c r="H631" s="2" t="s">
        <v>339</v>
      </c>
      <c r="I631" s="2" t="s">
        <v>1297</v>
      </c>
      <c r="J631" s="2" t="n">
        <v>6</v>
      </c>
      <c r="K631" s="2" t="n">
        <v>11045.19</v>
      </c>
      <c r="L631" s="2" t="s">
        <v>21</v>
      </c>
      <c r="M631" s="2" t="n">
        <v>3.7</v>
      </c>
    </row>
    <row r="632" customFormat="false" ht="15" hidden="false" customHeight="false" outlineLevel="0" collapsed="false">
      <c r="A632" s="2" t="s">
        <v>1298</v>
      </c>
      <c r="B632" s="2" t="n">
        <v>25</v>
      </c>
      <c r="C632" s="2" t="s">
        <v>30</v>
      </c>
      <c r="D632" s="2" t="s">
        <v>31</v>
      </c>
      <c r="E632" s="2" t="s">
        <v>59</v>
      </c>
      <c r="F632" s="2" t="s">
        <v>60</v>
      </c>
      <c r="G632" s="2" t="s">
        <v>86</v>
      </c>
      <c r="H632" s="2" t="s">
        <v>1233</v>
      </c>
      <c r="I632" s="2" t="s">
        <v>740</v>
      </c>
      <c r="J632" s="2" t="n">
        <v>3</v>
      </c>
      <c r="K632" s="2" t="n">
        <v>6019.34</v>
      </c>
      <c r="L632" s="2" t="s">
        <v>97</v>
      </c>
      <c r="M632" s="2" t="n">
        <v>4.1</v>
      </c>
    </row>
    <row r="633" customFormat="false" ht="15" hidden="false" customHeight="false" outlineLevel="0" collapsed="false">
      <c r="A633" s="2" t="s">
        <v>1299</v>
      </c>
      <c r="B633" s="2" t="n">
        <v>43</v>
      </c>
      <c r="C633" s="2" t="s">
        <v>14</v>
      </c>
      <c r="D633" s="2" t="s">
        <v>15</v>
      </c>
      <c r="E633" s="2" t="s">
        <v>42</v>
      </c>
      <c r="F633" s="2" t="s">
        <v>69</v>
      </c>
      <c r="G633" s="2" t="s">
        <v>18</v>
      </c>
      <c r="H633" s="2" t="s">
        <v>34</v>
      </c>
      <c r="I633" s="2" t="s">
        <v>517</v>
      </c>
      <c r="J633" s="2" t="n">
        <v>4</v>
      </c>
      <c r="K633" s="2" t="n">
        <v>11591.19</v>
      </c>
      <c r="L633" s="2" t="s">
        <v>21</v>
      </c>
      <c r="M633" s="2" t="n">
        <v>3.4</v>
      </c>
    </row>
    <row r="634" customFormat="false" ht="15" hidden="false" customHeight="false" outlineLevel="0" collapsed="false">
      <c r="A634" s="2" t="s">
        <v>1300</v>
      </c>
      <c r="B634" s="2" t="n">
        <v>82</v>
      </c>
      <c r="C634" s="2" t="s">
        <v>14</v>
      </c>
      <c r="D634" s="2" t="s">
        <v>23</v>
      </c>
      <c r="E634" s="2" t="s">
        <v>24</v>
      </c>
      <c r="F634" s="2" t="s">
        <v>25</v>
      </c>
      <c r="G634" s="2" t="s">
        <v>86</v>
      </c>
      <c r="H634" s="2" t="s">
        <v>254</v>
      </c>
      <c r="I634" s="2" t="s">
        <v>946</v>
      </c>
      <c r="J634" s="2" t="n">
        <v>9</v>
      </c>
      <c r="K634" s="2" t="n">
        <v>14932.25</v>
      </c>
      <c r="L634" s="2" t="s">
        <v>97</v>
      </c>
      <c r="M634" s="2" t="n">
        <v>3.8</v>
      </c>
    </row>
    <row r="635" customFormat="false" ht="15" hidden="false" customHeight="false" outlineLevel="0" collapsed="false">
      <c r="A635" s="2" t="s">
        <v>1301</v>
      </c>
      <c r="B635" s="2" t="n">
        <v>86</v>
      </c>
      <c r="C635" s="2" t="s">
        <v>14</v>
      </c>
      <c r="D635" s="2" t="s">
        <v>31</v>
      </c>
      <c r="E635" s="2" t="s">
        <v>16</v>
      </c>
      <c r="F635" s="2" t="s">
        <v>32</v>
      </c>
      <c r="G635" s="2" t="s">
        <v>33</v>
      </c>
      <c r="H635" s="2" t="s">
        <v>785</v>
      </c>
      <c r="I635" s="2" t="s">
        <v>364</v>
      </c>
      <c r="J635" s="2" t="n">
        <v>4</v>
      </c>
      <c r="K635" s="2" t="n">
        <v>7488.16</v>
      </c>
      <c r="L635" s="2" t="s">
        <v>119</v>
      </c>
      <c r="M635" s="2"/>
    </row>
    <row r="636" customFormat="false" ht="15" hidden="false" customHeight="false" outlineLevel="0" collapsed="false">
      <c r="A636" s="2" t="s">
        <v>1302</v>
      </c>
      <c r="B636" s="2" t="n">
        <v>41</v>
      </c>
      <c r="C636" s="2" t="s">
        <v>30</v>
      </c>
      <c r="D636" s="2" t="s">
        <v>52</v>
      </c>
      <c r="E636" s="2" t="s">
        <v>53</v>
      </c>
      <c r="F636" s="2" t="s">
        <v>76</v>
      </c>
      <c r="G636" s="2" t="s">
        <v>26</v>
      </c>
      <c r="H636" s="2" t="s">
        <v>924</v>
      </c>
      <c r="I636" s="2" t="s">
        <v>270</v>
      </c>
      <c r="J636" s="2" t="n">
        <v>1</v>
      </c>
      <c r="K636" s="2" t="n">
        <v>2694.13</v>
      </c>
      <c r="L636" s="2" t="s">
        <v>21</v>
      </c>
      <c r="M636" s="2" t="n">
        <v>4.4</v>
      </c>
    </row>
    <row r="637" customFormat="false" ht="15" hidden="false" customHeight="false" outlineLevel="0" collapsed="false">
      <c r="A637" s="2" t="s">
        <v>1303</v>
      </c>
      <c r="B637" s="2" t="n">
        <v>77</v>
      </c>
      <c r="C637" s="2" t="s">
        <v>14</v>
      </c>
      <c r="D637" s="2" t="s">
        <v>23</v>
      </c>
      <c r="E637" s="2" t="s">
        <v>16</v>
      </c>
      <c r="F637" s="2" t="s">
        <v>32</v>
      </c>
      <c r="G637" s="2" t="s">
        <v>33</v>
      </c>
      <c r="H637" s="2" t="s">
        <v>1160</v>
      </c>
      <c r="I637" s="2" t="s">
        <v>1060</v>
      </c>
      <c r="J637" s="2" t="n">
        <v>4</v>
      </c>
      <c r="K637" s="2" t="n">
        <v>11038.25</v>
      </c>
      <c r="L637" s="2" t="s">
        <v>21</v>
      </c>
      <c r="M637" s="2" t="n">
        <v>2.9</v>
      </c>
    </row>
    <row r="638" customFormat="false" ht="15" hidden="false" customHeight="false" outlineLevel="0" collapsed="false">
      <c r="A638" s="2" t="s">
        <v>1304</v>
      </c>
      <c r="B638" s="2" t="n">
        <v>76</v>
      </c>
      <c r="C638" s="2" t="s">
        <v>30</v>
      </c>
      <c r="D638" s="2" t="s">
        <v>52</v>
      </c>
      <c r="E638" s="2" t="s">
        <v>16</v>
      </c>
      <c r="F638" s="2" t="s">
        <v>32</v>
      </c>
      <c r="G638" s="2" t="s">
        <v>33</v>
      </c>
      <c r="H638" s="2" t="s">
        <v>1305</v>
      </c>
      <c r="I638" s="2" t="s">
        <v>1306</v>
      </c>
      <c r="J638" s="2" t="n">
        <v>4</v>
      </c>
      <c r="K638" s="2" t="n">
        <v>9005.25</v>
      </c>
      <c r="L638" s="2" t="s">
        <v>57</v>
      </c>
      <c r="M638" s="2" t="n">
        <v>3.8</v>
      </c>
    </row>
    <row r="639" customFormat="false" ht="15" hidden="false" customHeight="false" outlineLevel="0" collapsed="false">
      <c r="A639" s="2" t="s">
        <v>1307</v>
      </c>
      <c r="B639" s="2" t="n">
        <v>78</v>
      </c>
      <c r="C639" s="2" t="s">
        <v>30</v>
      </c>
      <c r="D639" s="2" t="s">
        <v>64</v>
      </c>
      <c r="E639" s="2" t="s">
        <v>42</v>
      </c>
      <c r="F639" s="2" t="s">
        <v>108</v>
      </c>
      <c r="G639" s="2" t="s">
        <v>48</v>
      </c>
      <c r="H639" s="2" t="s">
        <v>152</v>
      </c>
      <c r="I639" s="2" t="s">
        <v>259</v>
      </c>
      <c r="J639" s="2" t="n">
        <v>3</v>
      </c>
      <c r="K639" s="2" t="n">
        <v>10953.07</v>
      </c>
      <c r="L639" s="2" t="s">
        <v>21</v>
      </c>
      <c r="M639" s="2" t="n">
        <v>4.2</v>
      </c>
    </row>
    <row r="640" customFormat="false" ht="15" hidden="false" customHeight="false" outlineLevel="0" collapsed="false">
      <c r="A640" s="2" t="s">
        <v>1308</v>
      </c>
      <c r="B640" s="2" t="n">
        <v>31</v>
      </c>
      <c r="C640" s="2" t="s">
        <v>14</v>
      </c>
      <c r="D640" s="2" t="s">
        <v>31</v>
      </c>
      <c r="E640" s="2" t="s">
        <v>59</v>
      </c>
      <c r="F640" s="2" t="s">
        <v>65</v>
      </c>
      <c r="G640" s="2" t="s">
        <v>33</v>
      </c>
      <c r="H640" s="2" t="s">
        <v>1089</v>
      </c>
      <c r="I640" s="2" t="s">
        <v>28</v>
      </c>
      <c r="J640" s="2" t="n">
        <v>6</v>
      </c>
      <c r="K640" s="2" t="n">
        <v>5760.47</v>
      </c>
      <c r="L640" s="2" t="s">
        <v>21</v>
      </c>
      <c r="M640" s="2" t="n">
        <v>2.3</v>
      </c>
    </row>
    <row r="641" customFormat="false" ht="15" hidden="false" customHeight="false" outlineLevel="0" collapsed="false">
      <c r="A641" s="2" t="s">
        <v>1309</v>
      </c>
      <c r="B641" s="2" t="n">
        <v>72</v>
      </c>
      <c r="C641" s="2" t="s">
        <v>30</v>
      </c>
      <c r="D641" s="2" t="s">
        <v>15</v>
      </c>
      <c r="E641" s="2" t="s">
        <v>37</v>
      </c>
      <c r="F641" s="2" t="s">
        <v>173</v>
      </c>
      <c r="G641" s="2" t="s">
        <v>48</v>
      </c>
      <c r="H641" s="2" t="s">
        <v>368</v>
      </c>
      <c r="I641" s="2" t="s">
        <v>267</v>
      </c>
      <c r="J641" s="2" t="n">
        <v>3</v>
      </c>
      <c r="K641" s="2" t="n">
        <v>7981.47</v>
      </c>
      <c r="L641" s="2" t="s">
        <v>119</v>
      </c>
      <c r="M641" s="2"/>
    </row>
    <row r="642" customFormat="false" ht="15" hidden="false" customHeight="false" outlineLevel="0" collapsed="false">
      <c r="A642" s="2" t="s">
        <v>1310</v>
      </c>
      <c r="B642" s="2" t="n">
        <v>80</v>
      </c>
      <c r="C642" s="2" t="s">
        <v>30</v>
      </c>
      <c r="D642" s="2" t="s">
        <v>64</v>
      </c>
      <c r="E642" s="2" t="s">
        <v>53</v>
      </c>
      <c r="F642" s="2" t="s">
        <v>154</v>
      </c>
      <c r="G642" s="2" t="s">
        <v>86</v>
      </c>
      <c r="H642" s="2" t="s">
        <v>727</v>
      </c>
      <c r="I642" s="2" t="s">
        <v>914</v>
      </c>
      <c r="J642" s="2" t="n">
        <v>1</v>
      </c>
      <c r="K642" s="2" t="n">
        <v>3631.03</v>
      </c>
      <c r="L642" s="2" t="s">
        <v>57</v>
      </c>
      <c r="M642" s="2" t="n">
        <v>4.9</v>
      </c>
    </row>
    <row r="643" customFormat="false" ht="15" hidden="false" customHeight="false" outlineLevel="0" collapsed="false">
      <c r="A643" s="2" t="s">
        <v>1311</v>
      </c>
      <c r="B643" s="2" t="n">
        <v>26</v>
      </c>
      <c r="C643" s="2" t="s">
        <v>30</v>
      </c>
      <c r="D643" s="2" t="s">
        <v>31</v>
      </c>
      <c r="E643" s="2" t="s">
        <v>16</v>
      </c>
      <c r="F643" s="2" t="s">
        <v>32</v>
      </c>
      <c r="G643" s="2" t="s">
        <v>26</v>
      </c>
      <c r="H643" s="2" t="s">
        <v>1016</v>
      </c>
      <c r="I643" s="2" t="s">
        <v>565</v>
      </c>
      <c r="J643" s="2" t="n">
        <v>3</v>
      </c>
      <c r="K643" s="2" t="n">
        <v>7831.46</v>
      </c>
      <c r="L643" s="2" t="s">
        <v>21</v>
      </c>
      <c r="M643" s="2" t="n">
        <v>4.2</v>
      </c>
    </row>
    <row r="644" customFormat="false" ht="15" hidden="false" customHeight="false" outlineLevel="0" collapsed="false">
      <c r="A644" s="2" t="s">
        <v>1312</v>
      </c>
      <c r="B644" s="2" t="n">
        <v>27</v>
      </c>
      <c r="C644" s="2" t="s">
        <v>30</v>
      </c>
      <c r="D644" s="2" t="s">
        <v>52</v>
      </c>
      <c r="E644" s="2" t="s">
        <v>16</v>
      </c>
      <c r="F644" s="2" t="s">
        <v>47</v>
      </c>
      <c r="G644" s="2" t="s">
        <v>48</v>
      </c>
      <c r="H644" s="2" t="s">
        <v>840</v>
      </c>
      <c r="I644" s="2" t="s">
        <v>628</v>
      </c>
      <c r="J644" s="2" t="n">
        <v>1</v>
      </c>
      <c r="K644" s="2" t="n">
        <v>7668.67</v>
      </c>
      <c r="L644" s="2" t="s">
        <v>21</v>
      </c>
      <c r="M644" s="2" t="n">
        <v>4.3</v>
      </c>
    </row>
    <row r="645" customFormat="false" ht="15" hidden="false" customHeight="false" outlineLevel="0" collapsed="false">
      <c r="A645" s="2" t="s">
        <v>1313</v>
      </c>
      <c r="B645" s="2" t="n">
        <v>22</v>
      </c>
      <c r="C645" s="2" t="s">
        <v>30</v>
      </c>
      <c r="D645" s="2" t="s">
        <v>31</v>
      </c>
      <c r="E645" s="2" t="s">
        <v>53</v>
      </c>
      <c r="F645" s="2" t="s">
        <v>253</v>
      </c>
      <c r="G645" s="2" t="s">
        <v>33</v>
      </c>
      <c r="H645" s="2" t="s">
        <v>1314</v>
      </c>
      <c r="I645" s="2" t="s">
        <v>1315</v>
      </c>
      <c r="J645" s="2" t="n">
        <v>1</v>
      </c>
      <c r="K645" s="2" t="n">
        <v>3437.9</v>
      </c>
      <c r="L645" s="2" t="s">
        <v>21</v>
      </c>
      <c r="M645" s="2" t="n">
        <v>3.8</v>
      </c>
    </row>
    <row r="646" customFormat="false" ht="15" hidden="false" customHeight="false" outlineLevel="0" collapsed="false">
      <c r="A646" s="2" t="s">
        <v>1316</v>
      </c>
      <c r="B646" s="2" t="n">
        <v>56</v>
      </c>
      <c r="C646" s="2" t="s">
        <v>14</v>
      </c>
      <c r="D646" s="2" t="s">
        <v>52</v>
      </c>
      <c r="E646" s="2" t="s">
        <v>53</v>
      </c>
      <c r="F646" s="2" t="s">
        <v>76</v>
      </c>
      <c r="G646" s="2" t="s">
        <v>33</v>
      </c>
      <c r="H646" s="2" t="s">
        <v>199</v>
      </c>
      <c r="I646" s="2" t="s">
        <v>934</v>
      </c>
      <c r="J646" s="2" t="n">
        <v>1</v>
      </c>
      <c r="K646" s="2" t="n">
        <v>3624.26</v>
      </c>
      <c r="L646" s="2" t="s">
        <v>21</v>
      </c>
      <c r="M646" s="2" t="n">
        <v>3.2</v>
      </c>
    </row>
    <row r="647" customFormat="false" ht="15" hidden="false" customHeight="false" outlineLevel="0" collapsed="false">
      <c r="A647" s="2" t="s">
        <v>1317</v>
      </c>
      <c r="B647" s="2" t="n">
        <v>78</v>
      </c>
      <c r="C647" s="2" t="s">
        <v>30</v>
      </c>
      <c r="D647" s="2" t="s">
        <v>23</v>
      </c>
      <c r="E647" s="2" t="s">
        <v>16</v>
      </c>
      <c r="F647" s="2" t="s">
        <v>90</v>
      </c>
      <c r="G647" s="2" t="s">
        <v>77</v>
      </c>
      <c r="H647" s="2" t="s">
        <v>800</v>
      </c>
      <c r="I647" s="2" t="s">
        <v>801</v>
      </c>
      <c r="J647" s="2" t="n">
        <v>2</v>
      </c>
      <c r="K647" s="2" t="n">
        <v>4172.7</v>
      </c>
      <c r="L647" s="2" t="s">
        <v>21</v>
      </c>
      <c r="M647" s="2" t="n">
        <v>3.8</v>
      </c>
    </row>
    <row r="648" customFormat="false" ht="15" hidden="false" customHeight="false" outlineLevel="0" collapsed="false">
      <c r="A648" s="2" t="s">
        <v>1318</v>
      </c>
      <c r="B648" s="2" t="n">
        <v>63</v>
      </c>
      <c r="C648" s="2" t="s">
        <v>30</v>
      </c>
      <c r="D648" s="2" t="s">
        <v>15</v>
      </c>
      <c r="E648" s="2" t="s">
        <v>42</v>
      </c>
      <c r="F648" s="2" t="s">
        <v>69</v>
      </c>
      <c r="G648" s="2" t="s">
        <v>26</v>
      </c>
      <c r="H648" s="2" t="s">
        <v>1135</v>
      </c>
      <c r="I648" s="2" t="s">
        <v>528</v>
      </c>
      <c r="J648" s="2" t="n">
        <v>6</v>
      </c>
      <c r="K648" s="2" t="n">
        <v>12071.26</v>
      </c>
      <c r="L648" s="2" t="s">
        <v>57</v>
      </c>
      <c r="M648" s="2" t="n">
        <v>2.5</v>
      </c>
    </row>
    <row r="649" customFormat="false" ht="15" hidden="false" customHeight="false" outlineLevel="0" collapsed="false">
      <c r="A649" s="2" t="s">
        <v>1319</v>
      </c>
      <c r="B649" s="2" t="n">
        <v>61</v>
      </c>
      <c r="C649" s="2" t="s">
        <v>30</v>
      </c>
      <c r="D649" s="2" t="s">
        <v>31</v>
      </c>
      <c r="E649" s="2" t="s">
        <v>53</v>
      </c>
      <c r="F649" s="2" t="s">
        <v>54</v>
      </c>
      <c r="G649" s="2" t="s">
        <v>33</v>
      </c>
      <c r="H649" s="2" t="s">
        <v>689</v>
      </c>
      <c r="I649" s="2" t="s">
        <v>606</v>
      </c>
      <c r="J649" s="2" t="n">
        <v>1</v>
      </c>
      <c r="K649" s="2" t="n">
        <v>3040.44</v>
      </c>
      <c r="L649" s="2" t="s">
        <v>21</v>
      </c>
      <c r="M649" s="2" t="n">
        <v>4.6</v>
      </c>
    </row>
    <row r="650" customFormat="false" ht="15" hidden="false" customHeight="false" outlineLevel="0" collapsed="false">
      <c r="A650" s="2" t="s">
        <v>1320</v>
      </c>
      <c r="B650" s="2" t="n">
        <v>57</v>
      </c>
      <c r="C650" s="2" t="s">
        <v>14</v>
      </c>
      <c r="D650" s="2" t="s">
        <v>31</v>
      </c>
      <c r="E650" s="2" t="s">
        <v>59</v>
      </c>
      <c r="F650" s="2" t="s">
        <v>60</v>
      </c>
      <c r="G650" s="2" t="s">
        <v>33</v>
      </c>
      <c r="H650" s="2" t="s">
        <v>1321</v>
      </c>
      <c r="I650" s="2" t="s">
        <v>228</v>
      </c>
      <c r="J650" s="2" t="n">
        <v>7</v>
      </c>
      <c r="K650" s="2" t="n">
        <v>9749.27</v>
      </c>
      <c r="L650" s="2" t="s">
        <v>21</v>
      </c>
      <c r="M650" s="2" t="n">
        <v>4</v>
      </c>
    </row>
    <row r="651" customFormat="false" ht="15" hidden="false" customHeight="false" outlineLevel="0" collapsed="false">
      <c r="A651" s="2" t="s">
        <v>1322</v>
      </c>
      <c r="B651" s="2" t="n">
        <v>71</v>
      </c>
      <c r="C651" s="2" t="s">
        <v>30</v>
      </c>
      <c r="D651" s="2" t="s">
        <v>31</v>
      </c>
      <c r="E651" s="2" t="s">
        <v>37</v>
      </c>
      <c r="F651" s="2" t="s">
        <v>38</v>
      </c>
      <c r="G651" s="2" t="s">
        <v>26</v>
      </c>
      <c r="H651" s="2" t="s">
        <v>861</v>
      </c>
      <c r="I651" s="2" t="s">
        <v>862</v>
      </c>
      <c r="J651" s="2" t="n">
        <v>3</v>
      </c>
      <c r="K651" s="2" t="n">
        <v>7767.18</v>
      </c>
      <c r="L651" s="2" t="s">
        <v>21</v>
      </c>
      <c r="M651" s="2" t="n">
        <v>3.6</v>
      </c>
    </row>
    <row r="652" customFormat="false" ht="15" hidden="false" customHeight="false" outlineLevel="0" collapsed="false">
      <c r="A652" s="2" t="s">
        <v>1323</v>
      </c>
      <c r="B652" s="2" t="n">
        <v>30</v>
      </c>
      <c r="C652" s="2" t="s">
        <v>30</v>
      </c>
      <c r="D652" s="2" t="s">
        <v>31</v>
      </c>
      <c r="E652" s="2" t="s">
        <v>37</v>
      </c>
      <c r="F652" s="2" t="s">
        <v>151</v>
      </c>
      <c r="G652" s="2" t="s">
        <v>33</v>
      </c>
      <c r="H652" s="2" t="s">
        <v>1144</v>
      </c>
      <c r="I652" s="2" t="s">
        <v>840</v>
      </c>
      <c r="J652" s="2" t="n">
        <v>1</v>
      </c>
      <c r="K652" s="2" t="n">
        <v>5867.44</v>
      </c>
      <c r="L652" s="2" t="s">
        <v>21</v>
      </c>
      <c r="M652" s="2" t="n">
        <v>3.3</v>
      </c>
    </row>
    <row r="653" customFormat="false" ht="15" hidden="false" customHeight="false" outlineLevel="0" collapsed="false">
      <c r="A653" s="2" t="s">
        <v>1324</v>
      </c>
      <c r="B653" s="2" t="n">
        <v>73</v>
      </c>
      <c r="C653" s="2" t="s">
        <v>14</v>
      </c>
      <c r="D653" s="2" t="s">
        <v>52</v>
      </c>
      <c r="E653" s="2" t="s">
        <v>37</v>
      </c>
      <c r="F653" s="2" t="s">
        <v>158</v>
      </c>
      <c r="G653" s="2" t="s">
        <v>26</v>
      </c>
      <c r="H653" s="2" t="s">
        <v>907</v>
      </c>
      <c r="I653" s="2" t="s">
        <v>836</v>
      </c>
      <c r="J653" s="2" t="n">
        <v>4</v>
      </c>
      <c r="K653" s="2" t="n">
        <v>7020.16</v>
      </c>
      <c r="L653" s="2" t="s">
        <v>119</v>
      </c>
      <c r="M653" s="2"/>
    </row>
    <row r="654" customFormat="false" ht="15" hidden="false" customHeight="false" outlineLevel="0" collapsed="false">
      <c r="A654" s="2" t="s">
        <v>1325</v>
      </c>
      <c r="B654" s="2" t="n">
        <v>69</v>
      </c>
      <c r="C654" s="2" t="s">
        <v>14</v>
      </c>
      <c r="D654" s="2" t="s">
        <v>23</v>
      </c>
      <c r="E654" s="2" t="s">
        <v>37</v>
      </c>
      <c r="F654" s="2" t="s">
        <v>158</v>
      </c>
      <c r="G654" s="2" t="s">
        <v>48</v>
      </c>
      <c r="H654" s="2" t="s">
        <v>254</v>
      </c>
      <c r="I654" s="2" t="s">
        <v>945</v>
      </c>
      <c r="J654" s="2" t="n">
        <v>6</v>
      </c>
      <c r="K654" s="2" t="n">
        <v>8725.52</v>
      </c>
      <c r="L654" s="2" t="s">
        <v>21</v>
      </c>
      <c r="M654" s="2" t="n">
        <v>3.9</v>
      </c>
    </row>
    <row r="655" customFormat="false" ht="15" hidden="false" customHeight="false" outlineLevel="0" collapsed="false">
      <c r="A655" s="2" t="s">
        <v>1326</v>
      </c>
      <c r="B655" s="2" t="n">
        <v>85</v>
      </c>
      <c r="C655" s="2" t="s">
        <v>30</v>
      </c>
      <c r="D655" s="2" t="s">
        <v>52</v>
      </c>
      <c r="E655" s="2" t="s">
        <v>16</v>
      </c>
      <c r="F655" s="2" t="s">
        <v>47</v>
      </c>
      <c r="G655" s="2" t="s">
        <v>86</v>
      </c>
      <c r="H655" s="2" t="s">
        <v>831</v>
      </c>
      <c r="I655" s="2" t="s">
        <v>185</v>
      </c>
      <c r="J655" s="2" t="n">
        <v>6</v>
      </c>
      <c r="K655" s="2" t="n">
        <v>8073.11</v>
      </c>
      <c r="L655" s="2" t="s">
        <v>21</v>
      </c>
      <c r="M655" s="2" t="n">
        <v>3.2</v>
      </c>
    </row>
    <row r="656" customFormat="false" ht="15" hidden="false" customHeight="false" outlineLevel="0" collapsed="false">
      <c r="A656" s="2" t="s">
        <v>1327</v>
      </c>
      <c r="B656" s="2" t="n">
        <v>71</v>
      </c>
      <c r="C656" s="2" t="s">
        <v>30</v>
      </c>
      <c r="D656" s="2" t="s">
        <v>15</v>
      </c>
      <c r="E656" s="2" t="s">
        <v>24</v>
      </c>
      <c r="F656" s="2" t="s">
        <v>94</v>
      </c>
      <c r="G656" s="2" t="s">
        <v>48</v>
      </c>
      <c r="H656" s="2" t="s">
        <v>567</v>
      </c>
      <c r="I656" s="2" t="s">
        <v>720</v>
      </c>
      <c r="J656" s="2" t="n">
        <v>7</v>
      </c>
      <c r="K656" s="2" t="n">
        <v>18045.56</v>
      </c>
      <c r="L656" s="2" t="s">
        <v>97</v>
      </c>
      <c r="M656" s="2" t="n">
        <v>3.6</v>
      </c>
    </row>
    <row r="657" customFormat="false" ht="15" hidden="false" customHeight="false" outlineLevel="0" collapsed="false">
      <c r="A657" s="2" t="s">
        <v>1328</v>
      </c>
      <c r="B657" s="2" t="n">
        <v>41</v>
      </c>
      <c r="C657" s="2" t="s">
        <v>30</v>
      </c>
      <c r="D657" s="2" t="s">
        <v>64</v>
      </c>
      <c r="E657" s="2" t="s">
        <v>37</v>
      </c>
      <c r="F657" s="2" t="s">
        <v>38</v>
      </c>
      <c r="G657" s="2" t="s">
        <v>33</v>
      </c>
      <c r="H657" s="2" t="s">
        <v>1329</v>
      </c>
      <c r="I657" s="2" t="s">
        <v>852</v>
      </c>
      <c r="J657" s="2" t="n">
        <v>2</v>
      </c>
      <c r="K657" s="2" t="n">
        <v>5989.99</v>
      </c>
      <c r="L657" s="2" t="s">
        <v>97</v>
      </c>
      <c r="M657" s="2" t="n">
        <v>2.9</v>
      </c>
    </row>
    <row r="658" customFormat="false" ht="15" hidden="false" customHeight="false" outlineLevel="0" collapsed="false">
      <c r="A658" s="2" t="s">
        <v>1330</v>
      </c>
      <c r="B658" s="2" t="n">
        <v>25</v>
      </c>
      <c r="C658" s="2" t="s">
        <v>14</v>
      </c>
      <c r="D658" s="2" t="s">
        <v>15</v>
      </c>
      <c r="E658" s="2" t="s">
        <v>53</v>
      </c>
      <c r="F658" s="2" t="s">
        <v>76</v>
      </c>
      <c r="G658" s="2" t="s">
        <v>18</v>
      </c>
      <c r="H658" s="2" t="s">
        <v>1269</v>
      </c>
      <c r="I658" s="2" t="s">
        <v>1331</v>
      </c>
      <c r="J658" s="2" t="n">
        <v>2</v>
      </c>
      <c r="K658" s="2" t="n">
        <v>3975.58</v>
      </c>
      <c r="L658" s="2" t="s">
        <v>57</v>
      </c>
      <c r="M658" s="2" t="n">
        <v>2.5</v>
      </c>
    </row>
    <row r="659" customFormat="false" ht="15" hidden="false" customHeight="false" outlineLevel="0" collapsed="false">
      <c r="A659" s="2" t="s">
        <v>1332</v>
      </c>
      <c r="B659" s="2" t="n">
        <v>70</v>
      </c>
      <c r="C659" s="2" t="s">
        <v>30</v>
      </c>
      <c r="D659" s="2" t="s">
        <v>31</v>
      </c>
      <c r="E659" s="2" t="s">
        <v>37</v>
      </c>
      <c r="F659" s="2" t="s">
        <v>151</v>
      </c>
      <c r="G659" s="2" t="s">
        <v>77</v>
      </c>
      <c r="H659" s="2" t="s">
        <v>918</v>
      </c>
      <c r="I659" s="2" t="s">
        <v>1333</v>
      </c>
      <c r="J659" s="2" t="n">
        <v>6</v>
      </c>
      <c r="K659" s="2" t="n">
        <v>6481.65</v>
      </c>
      <c r="L659" s="2" t="s">
        <v>21</v>
      </c>
      <c r="M659" s="2" t="n">
        <v>2.9</v>
      </c>
    </row>
    <row r="660" customFormat="false" ht="15" hidden="false" customHeight="false" outlineLevel="0" collapsed="false">
      <c r="A660" s="2" t="s">
        <v>1334</v>
      </c>
      <c r="B660" s="2" t="n">
        <v>32</v>
      </c>
      <c r="C660" s="2" t="s">
        <v>14</v>
      </c>
      <c r="D660" s="2" t="s">
        <v>64</v>
      </c>
      <c r="E660" s="2" t="s">
        <v>42</v>
      </c>
      <c r="F660" s="2" t="s">
        <v>43</v>
      </c>
      <c r="G660" s="2" t="s">
        <v>33</v>
      </c>
      <c r="H660" s="2" t="s">
        <v>1196</v>
      </c>
      <c r="I660" s="2" t="s">
        <v>489</v>
      </c>
      <c r="J660" s="2" t="n">
        <v>3</v>
      </c>
      <c r="K660" s="2" t="n">
        <v>4485.83</v>
      </c>
      <c r="L660" s="2" t="s">
        <v>21</v>
      </c>
      <c r="M660" s="2" t="n">
        <v>3.8</v>
      </c>
    </row>
    <row r="661" customFormat="false" ht="15" hidden="false" customHeight="false" outlineLevel="0" collapsed="false">
      <c r="A661" s="2" t="s">
        <v>1335</v>
      </c>
      <c r="B661" s="2" t="n">
        <v>22</v>
      </c>
      <c r="C661" s="2" t="s">
        <v>14</v>
      </c>
      <c r="D661" s="2" t="s">
        <v>64</v>
      </c>
      <c r="E661" s="2" t="s">
        <v>59</v>
      </c>
      <c r="F661" s="2" t="s">
        <v>65</v>
      </c>
      <c r="G661" s="2" t="s">
        <v>86</v>
      </c>
      <c r="H661" s="2" t="s">
        <v>845</v>
      </c>
      <c r="I661" s="2" t="s">
        <v>800</v>
      </c>
      <c r="J661" s="2" t="n">
        <v>5</v>
      </c>
      <c r="K661" s="2" t="n">
        <v>7736.74</v>
      </c>
      <c r="L661" s="2" t="s">
        <v>21</v>
      </c>
      <c r="M661" s="2" t="n">
        <v>3.4</v>
      </c>
    </row>
    <row r="662" customFormat="false" ht="15" hidden="false" customHeight="false" outlineLevel="0" collapsed="false">
      <c r="A662" s="2" t="s">
        <v>1336</v>
      </c>
      <c r="B662" s="2" t="n">
        <v>80</v>
      </c>
      <c r="C662" s="2" t="s">
        <v>14</v>
      </c>
      <c r="D662" s="2" t="s">
        <v>31</v>
      </c>
      <c r="E662" s="2" t="s">
        <v>42</v>
      </c>
      <c r="F662" s="2" t="s">
        <v>81</v>
      </c>
      <c r="G662" s="2" t="s">
        <v>26</v>
      </c>
      <c r="H662" s="2" t="s">
        <v>537</v>
      </c>
      <c r="I662" s="2" t="s">
        <v>818</v>
      </c>
      <c r="J662" s="2" t="n">
        <v>5</v>
      </c>
      <c r="K662" s="2" t="n">
        <v>12952.74</v>
      </c>
      <c r="L662" s="2" t="s">
        <v>21</v>
      </c>
      <c r="M662" s="2" t="n">
        <v>2.4</v>
      </c>
    </row>
    <row r="663" customFormat="false" ht="15" hidden="false" customHeight="false" outlineLevel="0" collapsed="false">
      <c r="A663" s="2" t="s">
        <v>1337</v>
      </c>
      <c r="B663" s="2" t="n">
        <v>64</v>
      </c>
      <c r="C663" s="2" t="s">
        <v>14</v>
      </c>
      <c r="D663" s="2" t="s">
        <v>52</v>
      </c>
      <c r="E663" s="2" t="s">
        <v>37</v>
      </c>
      <c r="F663" s="2" t="s">
        <v>151</v>
      </c>
      <c r="G663" s="2" t="s">
        <v>18</v>
      </c>
      <c r="H663" s="2" t="s">
        <v>87</v>
      </c>
      <c r="I663" s="2" t="s">
        <v>545</v>
      </c>
      <c r="J663" s="2" t="n">
        <v>3</v>
      </c>
      <c r="K663" s="2" t="n">
        <v>6141.19</v>
      </c>
      <c r="L663" s="2" t="s">
        <v>21</v>
      </c>
      <c r="M663" s="2" t="n">
        <v>3.2</v>
      </c>
    </row>
    <row r="664" customFormat="false" ht="15" hidden="false" customHeight="false" outlineLevel="0" collapsed="false">
      <c r="A664" s="2" t="s">
        <v>1338</v>
      </c>
      <c r="B664" s="2" t="n">
        <v>85</v>
      </c>
      <c r="C664" s="2" t="s">
        <v>30</v>
      </c>
      <c r="D664" s="2" t="s">
        <v>52</v>
      </c>
      <c r="E664" s="2" t="s">
        <v>42</v>
      </c>
      <c r="F664" s="2" t="s">
        <v>43</v>
      </c>
      <c r="G664" s="2" t="s">
        <v>26</v>
      </c>
      <c r="H664" s="2" t="s">
        <v>373</v>
      </c>
      <c r="I664" s="2" t="s">
        <v>1339</v>
      </c>
      <c r="J664" s="2" t="n">
        <v>3</v>
      </c>
      <c r="K664" s="2" t="n">
        <v>9914.06</v>
      </c>
      <c r="L664" s="2" t="s">
        <v>57</v>
      </c>
      <c r="M664" s="2" t="n">
        <v>3</v>
      </c>
    </row>
    <row r="665" customFormat="false" ht="15" hidden="false" customHeight="false" outlineLevel="0" collapsed="false">
      <c r="A665" s="2" t="s">
        <v>1340</v>
      </c>
      <c r="B665" s="2" t="n">
        <v>67</v>
      </c>
      <c r="C665" s="2" t="s">
        <v>14</v>
      </c>
      <c r="D665" s="2" t="s">
        <v>52</v>
      </c>
      <c r="E665" s="2" t="s">
        <v>16</v>
      </c>
      <c r="F665" s="2" t="s">
        <v>17</v>
      </c>
      <c r="G665" s="2" t="s">
        <v>86</v>
      </c>
      <c r="H665" s="2" t="s">
        <v>1279</v>
      </c>
      <c r="I665" s="2" t="s">
        <v>1258</v>
      </c>
      <c r="J665" s="2" t="n">
        <v>4</v>
      </c>
      <c r="K665" s="2" t="n">
        <v>9924.51</v>
      </c>
      <c r="L665" s="2" t="s">
        <v>21</v>
      </c>
      <c r="M665" s="2" t="n">
        <v>3.8</v>
      </c>
    </row>
    <row r="666" customFormat="false" ht="15" hidden="false" customHeight="false" outlineLevel="0" collapsed="false">
      <c r="A666" s="2" t="s">
        <v>1341</v>
      </c>
      <c r="B666" s="2" t="n">
        <v>86</v>
      </c>
      <c r="C666" s="2" t="s">
        <v>30</v>
      </c>
      <c r="D666" s="2" t="s">
        <v>31</v>
      </c>
      <c r="E666" s="2" t="s">
        <v>59</v>
      </c>
      <c r="F666" s="2" t="s">
        <v>85</v>
      </c>
      <c r="G666" s="2" t="s">
        <v>77</v>
      </c>
      <c r="H666" s="2" t="s">
        <v>49</v>
      </c>
      <c r="I666" s="2" t="s">
        <v>56</v>
      </c>
      <c r="J666" s="2" t="n">
        <v>6</v>
      </c>
      <c r="K666" s="2" t="n">
        <v>9225.18</v>
      </c>
      <c r="L666" s="2" t="s">
        <v>57</v>
      </c>
      <c r="M666" s="2" t="n">
        <v>4.1</v>
      </c>
    </row>
    <row r="667" customFormat="false" ht="15" hidden="false" customHeight="false" outlineLevel="0" collapsed="false">
      <c r="A667" s="2" t="s">
        <v>1342</v>
      </c>
      <c r="B667" s="2" t="n">
        <v>36</v>
      </c>
      <c r="C667" s="2" t="s">
        <v>30</v>
      </c>
      <c r="D667" s="2" t="s">
        <v>52</v>
      </c>
      <c r="E667" s="2" t="s">
        <v>37</v>
      </c>
      <c r="F667" s="2" t="s">
        <v>173</v>
      </c>
      <c r="G667" s="2" t="s">
        <v>33</v>
      </c>
      <c r="H667" s="2" t="s">
        <v>449</v>
      </c>
      <c r="I667" s="2" t="s">
        <v>861</v>
      </c>
      <c r="J667" s="2" t="n">
        <v>1</v>
      </c>
      <c r="K667" s="2" t="n">
        <v>4009.51</v>
      </c>
      <c r="L667" s="2" t="s">
        <v>21</v>
      </c>
      <c r="M667" s="2" t="n">
        <v>3.7</v>
      </c>
    </row>
    <row r="668" customFormat="false" ht="15" hidden="false" customHeight="false" outlineLevel="0" collapsed="false">
      <c r="A668" s="2" t="s">
        <v>1343</v>
      </c>
      <c r="B668" s="2" t="n">
        <v>24</v>
      </c>
      <c r="C668" s="2" t="s">
        <v>14</v>
      </c>
      <c r="D668" s="2" t="s">
        <v>15</v>
      </c>
      <c r="E668" s="2" t="s">
        <v>24</v>
      </c>
      <c r="F668" s="2" t="s">
        <v>94</v>
      </c>
      <c r="G668" s="2" t="s">
        <v>33</v>
      </c>
      <c r="H668" s="2" t="s">
        <v>323</v>
      </c>
      <c r="I668" s="2" t="s">
        <v>1344</v>
      </c>
      <c r="J668" s="2" t="n">
        <v>3</v>
      </c>
      <c r="K668" s="2" t="n">
        <v>18952.08</v>
      </c>
      <c r="L668" s="2" t="s">
        <v>57</v>
      </c>
      <c r="M668" s="2" t="n">
        <v>3.5</v>
      </c>
    </row>
    <row r="669" customFormat="false" ht="15" hidden="false" customHeight="false" outlineLevel="0" collapsed="false">
      <c r="A669" s="2" t="s">
        <v>1345</v>
      </c>
      <c r="B669" s="2" t="n">
        <v>33</v>
      </c>
      <c r="C669" s="2" t="s">
        <v>14</v>
      </c>
      <c r="D669" s="2" t="s">
        <v>52</v>
      </c>
      <c r="E669" s="2" t="s">
        <v>53</v>
      </c>
      <c r="F669" s="2" t="s">
        <v>154</v>
      </c>
      <c r="G669" s="2" t="s">
        <v>77</v>
      </c>
      <c r="H669" s="2" t="s">
        <v>100</v>
      </c>
      <c r="I669" s="2" t="s">
        <v>928</v>
      </c>
      <c r="J669" s="2" t="n">
        <v>1</v>
      </c>
      <c r="K669" s="2" t="n">
        <v>5025.88</v>
      </c>
      <c r="L669" s="2" t="s">
        <v>97</v>
      </c>
      <c r="M669" s="2" t="n">
        <v>3.3</v>
      </c>
    </row>
    <row r="670" customFormat="false" ht="15" hidden="false" customHeight="false" outlineLevel="0" collapsed="false">
      <c r="A670" s="2" t="s">
        <v>1346</v>
      </c>
      <c r="B670" s="2" t="n">
        <v>38</v>
      </c>
      <c r="C670" s="2" t="s">
        <v>30</v>
      </c>
      <c r="D670" s="2" t="s">
        <v>15</v>
      </c>
      <c r="E670" s="2" t="s">
        <v>37</v>
      </c>
      <c r="F670" s="2" t="s">
        <v>38</v>
      </c>
      <c r="G670" s="2" t="s">
        <v>86</v>
      </c>
      <c r="H670" s="2" t="s">
        <v>595</v>
      </c>
      <c r="I670" s="2" t="s">
        <v>517</v>
      </c>
      <c r="J670" s="2" t="n">
        <v>8</v>
      </c>
      <c r="K670" s="2" t="n">
        <v>10068.07</v>
      </c>
      <c r="L670" s="2" t="s">
        <v>119</v>
      </c>
      <c r="M670" s="2"/>
    </row>
    <row r="671" customFormat="false" ht="15" hidden="false" customHeight="false" outlineLevel="0" collapsed="false">
      <c r="A671" s="2" t="s">
        <v>1347</v>
      </c>
      <c r="B671" s="2" t="n">
        <v>78</v>
      </c>
      <c r="C671" s="2" t="s">
        <v>30</v>
      </c>
      <c r="D671" s="2" t="s">
        <v>15</v>
      </c>
      <c r="E671" s="2" t="s">
        <v>37</v>
      </c>
      <c r="F671" s="2" t="s">
        <v>38</v>
      </c>
      <c r="G671" s="2" t="s">
        <v>86</v>
      </c>
      <c r="H671" s="2" t="s">
        <v>870</v>
      </c>
      <c r="I671" s="2" t="s">
        <v>432</v>
      </c>
      <c r="J671" s="2" t="n">
        <v>3</v>
      </c>
      <c r="K671" s="2" t="n">
        <v>6284.28</v>
      </c>
      <c r="L671" s="2" t="s">
        <v>21</v>
      </c>
      <c r="M671" s="2" t="n">
        <v>2.9</v>
      </c>
    </row>
    <row r="672" customFormat="false" ht="15" hidden="false" customHeight="false" outlineLevel="0" collapsed="false">
      <c r="A672" s="2" t="s">
        <v>1348</v>
      </c>
      <c r="B672" s="2" t="n">
        <v>88</v>
      </c>
      <c r="C672" s="2" t="s">
        <v>30</v>
      </c>
      <c r="D672" s="2" t="s">
        <v>52</v>
      </c>
      <c r="E672" s="2" t="s">
        <v>37</v>
      </c>
      <c r="F672" s="2" t="s">
        <v>158</v>
      </c>
      <c r="G672" s="2" t="s">
        <v>86</v>
      </c>
      <c r="H672" s="2" t="s">
        <v>1349</v>
      </c>
      <c r="I672" s="2" t="s">
        <v>129</v>
      </c>
      <c r="J672" s="2" t="n">
        <v>4</v>
      </c>
      <c r="K672" s="2" t="n">
        <v>5894.72</v>
      </c>
      <c r="L672" s="2" t="s">
        <v>57</v>
      </c>
      <c r="M672" s="2" t="n">
        <v>4.1</v>
      </c>
    </row>
    <row r="673" customFormat="false" ht="15" hidden="false" customHeight="false" outlineLevel="0" collapsed="false">
      <c r="A673" s="2" t="s">
        <v>1350</v>
      </c>
      <c r="B673" s="2" t="n">
        <v>57</v>
      </c>
      <c r="C673" s="2" t="s">
        <v>30</v>
      </c>
      <c r="D673" s="2" t="s">
        <v>23</v>
      </c>
      <c r="E673" s="2" t="s">
        <v>42</v>
      </c>
      <c r="F673" s="2" t="s">
        <v>69</v>
      </c>
      <c r="G673" s="2" t="s">
        <v>18</v>
      </c>
      <c r="H673" s="2" t="s">
        <v>824</v>
      </c>
      <c r="I673" s="2" t="s">
        <v>100</v>
      </c>
      <c r="J673" s="2" t="n">
        <v>6</v>
      </c>
      <c r="K673" s="2" t="n">
        <v>6428.9</v>
      </c>
      <c r="L673" s="2" t="s">
        <v>57</v>
      </c>
      <c r="M673" s="2" t="n">
        <v>3.3</v>
      </c>
    </row>
    <row r="674" customFormat="false" ht="15" hidden="false" customHeight="false" outlineLevel="0" collapsed="false">
      <c r="A674" s="2" t="s">
        <v>1351</v>
      </c>
      <c r="B674" s="2" t="n">
        <v>34</v>
      </c>
      <c r="C674" s="2" t="s">
        <v>30</v>
      </c>
      <c r="D674" s="2" t="s">
        <v>15</v>
      </c>
      <c r="E674" s="2" t="s">
        <v>53</v>
      </c>
      <c r="F674" s="2" t="s">
        <v>253</v>
      </c>
      <c r="G674" s="2" t="s">
        <v>48</v>
      </c>
      <c r="H674" s="2" t="s">
        <v>149</v>
      </c>
      <c r="I674" s="2" t="s">
        <v>1050</v>
      </c>
      <c r="J674" s="2" t="n">
        <v>1</v>
      </c>
      <c r="K674" s="2" t="n">
        <v>4573.9</v>
      </c>
      <c r="L674" s="2" t="s">
        <v>57</v>
      </c>
      <c r="M674" s="2" t="n">
        <v>3.9</v>
      </c>
    </row>
    <row r="675" customFormat="false" ht="15" hidden="false" customHeight="false" outlineLevel="0" collapsed="false">
      <c r="A675" s="2" t="s">
        <v>1352</v>
      </c>
      <c r="B675" s="2" t="n">
        <v>71</v>
      </c>
      <c r="C675" s="2" t="s">
        <v>30</v>
      </c>
      <c r="D675" s="2" t="s">
        <v>64</v>
      </c>
      <c r="E675" s="2" t="s">
        <v>53</v>
      </c>
      <c r="F675" s="2" t="s">
        <v>253</v>
      </c>
      <c r="G675" s="2" t="s">
        <v>26</v>
      </c>
      <c r="H675" s="2" t="s">
        <v>214</v>
      </c>
      <c r="I675" s="2" t="s">
        <v>287</v>
      </c>
      <c r="J675" s="2" t="n">
        <v>1</v>
      </c>
      <c r="K675" s="2" t="n">
        <v>3736.8</v>
      </c>
      <c r="L675" s="2" t="s">
        <v>21</v>
      </c>
      <c r="M675" s="2" t="n">
        <v>3.8</v>
      </c>
    </row>
    <row r="676" customFormat="false" ht="15" hidden="false" customHeight="false" outlineLevel="0" collapsed="false">
      <c r="A676" s="2" t="s">
        <v>1353</v>
      </c>
      <c r="B676" s="2" t="n">
        <v>47</v>
      </c>
      <c r="C676" s="2" t="s">
        <v>14</v>
      </c>
      <c r="D676" s="2" t="s">
        <v>52</v>
      </c>
      <c r="E676" s="2" t="s">
        <v>16</v>
      </c>
      <c r="F676" s="2" t="s">
        <v>47</v>
      </c>
      <c r="G676" s="2" t="s">
        <v>48</v>
      </c>
      <c r="H676" s="2" t="s">
        <v>1166</v>
      </c>
      <c r="I676" s="2" t="s">
        <v>400</v>
      </c>
      <c r="J676" s="2" t="n">
        <v>6</v>
      </c>
      <c r="K676" s="2" t="n">
        <v>10214.75</v>
      </c>
      <c r="L676" s="2" t="s">
        <v>21</v>
      </c>
      <c r="M676" s="2" t="n">
        <v>4.5</v>
      </c>
    </row>
    <row r="677" customFormat="false" ht="15" hidden="false" customHeight="false" outlineLevel="0" collapsed="false">
      <c r="A677" s="2" t="s">
        <v>1354</v>
      </c>
      <c r="B677" s="2" t="n">
        <v>39</v>
      </c>
      <c r="C677" s="2" t="s">
        <v>14</v>
      </c>
      <c r="D677" s="2" t="s">
        <v>31</v>
      </c>
      <c r="E677" s="2" t="s">
        <v>37</v>
      </c>
      <c r="F677" s="2" t="s">
        <v>38</v>
      </c>
      <c r="G677" s="2" t="s">
        <v>77</v>
      </c>
      <c r="H677" s="2" t="s">
        <v>577</v>
      </c>
      <c r="I677" s="2" t="s">
        <v>1355</v>
      </c>
      <c r="J677" s="2" t="n">
        <v>8</v>
      </c>
      <c r="K677" s="2" t="n">
        <v>7916.17</v>
      </c>
      <c r="L677" s="2" t="s">
        <v>21</v>
      </c>
      <c r="M677" s="2" t="n">
        <v>3.4</v>
      </c>
    </row>
    <row r="678" customFormat="false" ht="15" hidden="false" customHeight="false" outlineLevel="0" collapsed="false">
      <c r="A678" s="2" t="s">
        <v>1356</v>
      </c>
      <c r="B678" s="2" t="n">
        <v>52</v>
      </c>
      <c r="C678" s="2" t="s">
        <v>30</v>
      </c>
      <c r="D678" s="2" t="s">
        <v>52</v>
      </c>
      <c r="E678" s="2" t="s">
        <v>53</v>
      </c>
      <c r="F678" s="2" t="s">
        <v>76</v>
      </c>
      <c r="G678" s="2" t="s">
        <v>77</v>
      </c>
      <c r="H678" s="2" t="s">
        <v>28</v>
      </c>
      <c r="I678" s="2" t="s">
        <v>794</v>
      </c>
      <c r="J678" s="2" t="n">
        <v>1</v>
      </c>
      <c r="K678" s="2" t="n">
        <v>2369.67</v>
      </c>
      <c r="L678" s="2" t="s">
        <v>21</v>
      </c>
      <c r="M678" s="2" t="n">
        <v>3.4</v>
      </c>
    </row>
    <row r="679" customFormat="false" ht="15" hidden="false" customHeight="false" outlineLevel="0" collapsed="false">
      <c r="A679" s="2" t="s">
        <v>1357</v>
      </c>
      <c r="B679" s="2" t="n">
        <v>70</v>
      </c>
      <c r="C679" s="2" t="s">
        <v>14</v>
      </c>
      <c r="D679" s="2" t="s">
        <v>31</v>
      </c>
      <c r="E679" s="2" t="s">
        <v>59</v>
      </c>
      <c r="F679" s="2" t="s">
        <v>202</v>
      </c>
      <c r="G679" s="2" t="s">
        <v>18</v>
      </c>
      <c r="H679" s="2" t="s">
        <v>1201</v>
      </c>
      <c r="I679" s="2" t="s">
        <v>1358</v>
      </c>
      <c r="J679" s="2" t="n">
        <v>4</v>
      </c>
      <c r="K679" s="2" t="n">
        <v>7420.79</v>
      </c>
      <c r="L679" s="2" t="s">
        <v>21</v>
      </c>
      <c r="M679" s="2" t="n">
        <v>3.8</v>
      </c>
    </row>
    <row r="680" customFormat="false" ht="15" hidden="false" customHeight="false" outlineLevel="0" collapsed="false">
      <c r="A680" s="2" t="s">
        <v>1359</v>
      </c>
      <c r="B680" s="2" t="n">
        <v>76</v>
      </c>
      <c r="C680" s="2" t="s">
        <v>14</v>
      </c>
      <c r="D680" s="2" t="s">
        <v>31</v>
      </c>
      <c r="E680" s="2" t="s">
        <v>53</v>
      </c>
      <c r="F680" s="2" t="s">
        <v>76</v>
      </c>
      <c r="G680" s="2" t="s">
        <v>33</v>
      </c>
      <c r="H680" s="2" t="s">
        <v>784</v>
      </c>
      <c r="I680" s="2" t="s">
        <v>196</v>
      </c>
      <c r="J680" s="2" t="n">
        <v>1</v>
      </c>
      <c r="K680" s="2" t="n">
        <v>3865.29</v>
      </c>
      <c r="L680" s="2" t="s">
        <v>21</v>
      </c>
      <c r="M680" s="2" t="n">
        <v>2.9</v>
      </c>
    </row>
    <row r="681" customFormat="false" ht="15" hidden="false" customHeight="false" outlineLevel="0" collapsed="false">
      <c r="A681" s="2" t="s">
        <v>1360</v>
      </c>
      <c r="B681" s="2" t="n">
        <v>27</v>
      </c>
      <c r="C681" s="2" t="s">
        <v>14</v>
      </c>
      <c r="D681" s="2" t="s">
        <v>23</v>
      </c>
      <c r="E681" s="2" t="s">
        <v>42</v>
      </c>
      <c r="F681" s="2" t="s">
        <v>69</v>
      </c>
      <c r="G681" s="2" t="s">
        <v>33</v>
      </c>
      <c r="H681" s="2" t="s">
        <v>271</v>
      </c>
      <c r="I681" s="2" t="s">
        <v>344</v>
      </c>
      <c r="J681" s="2" t="n">
        <v>5</v>
      </c>
      <c r="K681" s="2" t="n">
        <v>8936.38</v>
      </c>
      <c r="L681" s="2" t="s">
        <v>21</v>
      </c>
      <c r="M681" s="2" t="n">
        <v>3.7</v>
      </c>
    </row>
    <row r="682" customFormat="false" ht="15" hidden="false" customHeight="false" outlineLevel="0" collapsed="false">
      <c r="A682" s="2" t="s">
        <v>1361</v>
      </c>
      <c r="B682" s="2" t="n">
        <v>23</v>
      </c>
      <c r="C682" s="2" t="s">
        <v>14</v>
      </c>
      <c r="D682" s="2" t="s">
        <v>15</v>
      </c>
      <c r="E682" s="2" t="s">
        <v>24</v>
      </c>
      <c r="F682" s="2" t="s">
        <v>94</v>
      </c>
      <c r="G682" s="2" t="s">
        <v>33</v>
      </c>
      <c r="H682" s="2" t="s">
        <v>1080</v>
      </c>
      <c r="I682" s="2" t="s">
        <v>1081</v>
      </c>
      <c r="J682" s="2" t="n">
        <v>6</v>
      </c>
      <c r="K682" s="2" t="n">
        <v>15993.74</v>
      </c>
      <c r="L682" s="2" t="s">
        <v>57</v>
      </c>
      <c r="M682" s="2" t="n">
        <v>3.9</v>
      </c>
    </row>
    <row r="683" customFormat="false" ht="15" hidden="false" customHeight="false" outlineLevel="0" collapsed="false">
      <c r="A683" s="2" t="s">
        <v>1362</v>
      </c>
      <c r="B683" s="2" t="n">
        <v>39</v>
      </c>
      <c r="C683" s="2" t="s">
        <v>30</v>
      </c>
      <c r="D683" s="2" t="s">
        <v>15</v>
      </c>
      <c r="E683" s="2" t="s">
        <v>53</v>
      </c>
      <c r="F683" s="2" t="s">
        <v>76</v>
      </c>
      <c r="G683" s="2" t="s">
        <v>86</v>
      </c>
      <c r="H683" s="2" t="s">
        <v>1363</v>
      </c>
      <c r="I683" s="2" t="s">
        <v>769</v>
      </c>
      <c r="J683" s="2" t="n">
        <v>1</v>
      </c>
      <c r="K683" s="2" t="n">
        <v>3431.53</v>
      </c>
      <c r="L683" s="2" t="s">
        <v>21</v>
      </c>
      <c r="M683" s="2" t="n">
        <v>3</v>
      </c>
    </row>
    <row r="684" customFormat="false" ht="15" hidden="false" customHeight="false" outlineLevel="0" collapsed="false">
      <c r="A684" s="2" t="s">
        <v>1364</v>
      </c>
      <c r="B684" s="2" t="n">
        <v>58</v>
      </c>
      <c r="C684" s="2" t="s">
        <v>14</v>
      </c>
      <c r="D684" s="2" t="s">
        <v>64</v>
      </c>
      <c r="E684" s="2" t="s">
        <v>53</v>
      </c>
      <c r="F684" s="2" t="s">
        <v>54</v>
      </c>
      <c r="G684" s="2" t="s">
        <v>48</v>
      </c>
      <c r="H684" s="2" t="s">
        <v>483</v>
      </c>
      <c r="I684" s="2" t="s">
        <v>843</v>
      </c>
      <c r="J684" s="2" t="n">
        <v>3</v>
      </c>
      <c r="K684" s="2" t="n">
        <v>4166.66</v>
      </c>
      <c r="L684" s="2" t="s">
        <v>57</v>
      </c>
      <c r="M684" s="2" t="n">
        <v>2.8</v>
      </c>
    </row>
    <row r="685" customFormat="false" ht="15" hidden="false" customHeight="false" outlineLevel="0" collapsed="false">
      <c r="A685" s="2" t="s">
        <v>1365</v>
      </c>
      <c r="B685" s="2" t="n">
        <v>51</v>
      </c>
      <c r="C685" s="2" t="s">
        <v>30</v>
      </c>
      <c r="D685" s="2" t="s">
        <v>52</v>
      </c>
      <c r="E685" s="2" t="s">
        <v>16</v>
      </c>
      <c r="F685" s="2" t="s">
        <v>47</v>
      </c>
      <c r="G685" s="2" t="s">
        <v>48</v>
      </c>
      <c r="H685" s="2" t="s">
        <v>92</v>
      </c>
      <c r="I685" s="2" t="s">
        <v>1034</v>
      </c>
      <c r="J685" s="2" t="n">
        <v>1</v>
      </c>
      <c r="K685" s="2" t="n">
        <v>7670.78</v>
      </c>
      <c r="L685" s="2" t="s">
        <v>57</v>
      </c>
      <c r="M685" s="2" t="n">
        <v>3.4</v>
      </c>
    </row>
    <row r="686" customFormat="false" ht="15" hidden="false" customHeight="false" outlineLevel="0" collapsed="false">
      <c r="A686" s="2" t="s">
        <v>1366</v>
      </c>
      <c r="B686" s="2" t="n">
        <v>74</v>
      </c>
      <c r="C686" s="2" t="s">
        <v>14</v>
      </c>
      <c r="D686" s="2" t="s">
        <v>64</v>
      </c>
      <c r="E686" s="2" t="s">
        <v>16</v>
      </c>
      <c r="F686" s="2" t="s">
        <v>90</v>
      </c>
      <c r="G686" s="2" t="s">
        <v>18</v>
      </c>
      <c r="H686" s="2" t="s">
        <v>1002</v>
      </c>
      <c r="I686" s="2" t="s">
        <v>283</v>
      </c>
      <c r="J686" s="2" t="n">
        <v>6</v>
      </c>
      <c r="K686" s="2" t="n">
        <v>9849.8</v>
      </c>
      <c r="L686" s="2" t="s">
        <v>97</v>
      </c>
      <c r="M686" s="2" t="n">
        <v>1.4</v>
      </c>
    </row>
    <row r="687" customFormat="false" ht="15" hidden="false" customHeight="false" outlineLevel="0" collapsed="false">
      <c r="A687" s="2" t="s">
        <v>1367</v>
      </c>
      <c r="B687" s="2" t="n">
        <v>81</v>
      </c>
      <c r="C687" s="2" t="s">
        <v>14</v>
      </c>
      <c r="D687" s="2" t="s">
        <v>52</v>
      </c>
      <c r="E687" s="2" t="s">
        <v>59</v>
      </c>
      <c r="F687" s="2" t="s">
        <v>85</v>
      </c>
      <c r="G687" s="2" t="s">
        <v>77</v>
      </c>
      <c r="H687" s="2" t="s">
        <v>1034</v>
      </c>
      <c r="I687" s="2" t="s">
        <v>891</v>
      </c>
      <c r="J687" s="2" t="n">
        <v>9</v>
      </c>
      <c r="K687" s="2" t="n">
        <v>12049.62</v>
      </c>
      <c r="L687" s="2" t="s">
        <v>21</v>
      </c>
      <c r="M687" s="2" t="n">
        <v>4.1</v>
      </c>
    </row>
    <row r="688" customFormat="false" ht="15" hidden="false" customHeight="false" outlineLevel="0" collapsed="false">
      <c r="A688" s="2" t="s">
        <v>1368</v>
      </c>
      <c r="B688" s="2" t="n">
        <v>62</v>
      </c>
      <c r="C688" s="2" t="s">
        <v>14</v>
      </c>
      <c r="D688" s="2" t="s">
        <v>64</v>
      </c>
      <c r="E688" s="2" t="s">
        <v>59</v>
      </c>
      <c r="F688" s="2" t="s">
        <v>65</v>
      </c>
      <c r="G688" s="2" t="s">
        <v>18</v>
      </c>
      <c r="H688" s="2" t="s">
        <v>359</v>
      </c>
      <c r="I688" s="2" t="s">
        <v>178</v>
      </c>
      <c r="J688" s="2" t="n">
        <v>7</v>
      </c>
      <c r="K688" s="2" t="n">
        <v>8028.32</v>
      </c>
      <c r="L688" s="2" t="s">
        <v>21</v>
      </c>
      <c r="M688" s="2" t="n">
        <v>4</v>
      </c>
    </row>
    <row r="689" customFormat="false" ht="15" hidden="false" customHeight="false" outlineLevel="0" collapsed="false">
      <c r="A689" s="2" t="s">
        <v>1369</v>
      </c>
      <c r="B689" s="2" t="n">
        <v>18</v>
      </c>
      <c r="C689" s="2" t="s">
        <v>14</v>
      </c>
      <c r="D689" s="2" t="s">
        <v>52</v>
      </c>
      <c r="E689" s="2" t="s">
        <v>42</v>
      </c>
      <c r="F689" s="2" t="s">
        <v>43</v>
      </c>
      <c r="G689" s="2" t="s">
        <v>77</v>
      </c>
      <c r="H689" s="2" t="s">
        <v>578</v>
      </c>
      <c r="I689" s="2" t="s">
        <v>50</v>
      </c>
      <c r="J689" s="2" t="n">
        <v>10</v>
      </c>
      <c r="K689" s="2" t="n">
        <v>13758.91</v>
      </c>
      <c r="L689" s="2" t="s">
        <v>21</v>
      </c>
      <c r="M689" s="2" t="n">
        <v>3.6</v>
      </c>
    </row>
    <row r="690" customFormat="false" ht="15" hidden="false" customHeight="false" outlineLevel="0" collapsed="false">
      <c r="A690" s="2" t="s">
        <v>1370</v>
      </c>
      <c r="B690" s="2" t="n">
        <v>33</v>
      </c>
      <c r="C690" s="2" t="s">
        <v>30</v>
      </c>
      <c r="D690" s="2" t="s">
        <v>15</v>
      </c>
      <c r="E690" s="2" t="s">
        <v>24</v>
      </c>
      <c r="F690" s="2" t="s">
        <v>25</v>
      </c>
      <c r="G690" s="2" t="s">
        <v>33</v>
      </c>
      <c r="H690" s="2" t="s">
        <v>1371</v>
      </c>
      <c r="I690" s="2" t="s">
        <v>431</v>
      </c>
      <c r="J690" s="2" t="n">
        <v>9</v>
      </c>
      <c r="K690" s="2" t="n">
        <v>19201.11</v>
      </c>
      <c r="L690" s="2" t="s">
        <v>21</v>
      </c>
      <c r="M690" s="2" t="n">
        <v>2.4</v>
      </c>
    </row>
    <row r="691" customFormat="false" ht="15" hidden="false" customHeight="false" outlineLevel="0" collapsed="false">
      <c r="A691" s="2" t="s">
        <v>1372</v>
      </c>
      <c r="B691" s="2" t="n">
        <v>52</v>
      </c>
      <c r="C691" s="2" t="s">
        <v>14</v>
      </c>
      <c r="D691" s="2" t="s">
        <v>15</v>
      </c>
      <c r="E691" s="2" t="s">
        <v>42</v>
      </c>
      <c r="F691" s="2" t="s">
        <v>108</v>
      </c>
      <c r="G691" s="2" t="s">
        <v>33</v>
      </c>
      <c r="H691" s="2" t="s">
        <v>378</v>
      </c>
      <c r="I691" s="2" t="s">
        <v>477</v>
      </c>
      <c r="J691" s="2" t="n">
        <v>5</v>
      </c>
      <c r="K691" s="2" t="n">
        <v>12832.06</v>
      </c>
      <c r="L691" s="2" t="s">
        <v>57</v>
      </c>
      <c r="M691" s="2" t="n">
        <v>4.6</v>
      </c>
    </row>
    <row r="692" customFormat="false" ht="15" hidden="false" customHeight="false" outlineLevel="0" collapsed="false">
      <c r="A692" s="2" t="s">
        <v>1373</v>
      </c>
      <c r="B692" s="2" t="n">
        <v>54</v>
      </c>
      <c r="C692" s="2" t="s">
        <v>30</v>
      </c>
      <c r="D692" s="2" t="s">
        <v>31</v>
      </c>
      <c r="E692" s="2" t="s">
        <v>37</v>
      </c>
      <c r="F692" s="2" t="s">
        <v>158</v>
      </c>
      <c r="G692" s="2" t="s">
        <v>26</v>
      </c>
      <c r="H692" s="2" t="s">
        <v>1374</v>
      </c>
      <c r="I692" s="2" t="s">
        <v>1375</v>
      </c>
      <c r="J692" s="2" t="n">
        <v>3</v>
      </c>
      <c r="K692" s="2" t="n">
        <v>7452.59</v>
      </c>
      <c r="L692" s="2" t="s">
        <v>21</v>
      </c>
      <c r="M692" s="2" t="n">
        <v>5</v>
      </c>
    </row>
    <row r="693" customFormat="false" ht="15" hidden="false" customHeight="false" outlineLevel="0" collapsed="false">
      <c r="A693" s="2" t="s">
        <v>1376</v>
      </c>
      <c r="B693" s="2" t="n">
        <v>29</v>
      </c>
      <c r="C693" s="2" t="s">
        <v>14</v>
      </c>
      <c r="D693" s="2" t="s">
        <v>64</v>
      </c>
      <c r="E693" s="2" t="s">
        <v>16</v>
      </c>
      <c r="F693" s="2" t="s">
        <v>32</v>
      </c>
      <c r="G693" s="2" t="s">
        <v>77</v>
      </c>
      <c r="H693" s="2" t="s">
        <v>35</v>
      </c>
      <c r="I693" s="2" t="s">
        <v>118</v>
      </c>
      <c r="J693" s="2" t="n">
        <v>2</v>
      </c>
      <c r="K693" s="2" t="n">
        <v>5845.16</v>
      </c>
      <c r="L693" s="2" t="s">
        <v>21</v>
      </c>
      <c r="M693" s="2" t="n">
        <v>2.3</v>
      </c>
    </row>
    <row r="694" customFormat="false" ht="15" hidden="false" customHeight="false" outlineLevel="0" collapsed="false">
      <c r="A694" s="2" t="s">
        <v>1377</v>
      </c>
      <c r="B694" s="2" t="n">
        <v>56</v>
      </c>
      <c r="C694" s="2" t="s">
        <v>30</v>
      </c>
      <c r="D694" s="2" t="s">
        <v>52</v>
      </c>
      <c r="E694" s="2" t="s">
        <v>37</v>
      </c>
      <c r="F694" s="2" t="s">
        <v>173</v>
      </c>
      <c r="G694" s="2" t="s">
        <v>48</v>
      </c>
      <c r="H694" s="2" t="s">
        <v>1067</v>
      </c>
      <c r="I694" s="2" t="s">
        <v>816</v>
      </c>
      <c r="J694" s="2" t="n">
        <v>7</v>
      </c>
      <c r="K694" s="2" t="n">
        <v>9495.72</v>
      </c>
      <c r="L694" s="2" t="s">
        <v>57</v>
      </c>
      <c r="M694" s="2" t="n">
        <v>2.6</v>
      </c>
    </row>
    <row r="695" customFormat="false" ht="15" hidden="false" customHeight="false" outlineLevel="0" collapsed="false">
      <c r="A695" s="2" t="s">
        <v>1378</v>
      </c>
      <c r="B695" s="2" t="n">
        <v>67</v>
      </c>
      <c r="C695" s="2" t="s">
        <v>30</v>
      </c>
      <c r="D695" s="2" t="s">
        <v>15</v>
      </c>
      <c r="E695" s="2" t="s">
        <v>24</v>
      </c>
      <c r="F695" s="2" t="s">
        <v>94</v>
      </c>
      <c r="G695" s="2" t="s">
        <v>86</v>
      </c>
      <c r="H695" s="2" t="s">
        <v>204</v>
      </c>
      <c r="I695" s="2" t="s">
        <v>142</v>
      </c>
      <c r="J695" s="2" t="n">
        <v>8</v>
      </c>
      <c r="K695" s="2" t="n">
        <v>19747.55</v>
      </c>
      <c r="L695" s="2" t="s">
        <v>21</v>
      </c>
      <c r="M695" s="2" t="n">
        <v>2.5</v>
      </c>
    </row>
    <row r="696" customFormat="false" ht="15" hidden="false" customHeight="false" outlineLevel="0" collapsed="false">
      <c r="A696" s="2" t="s">
        <v>1379</v>
      </c>
      <c r="B696" s="2" t="n">
        <v>72</v>
      </c>
      <c r="C696" s="2" t="s">
        <v>14</v>
      </c>
      <c r="D696" s="2" t="s">
        <v>31</v>
      </c>
      <c r="E696" s="2" t="s">
        <v>24</v>
      </c>
      <c r="F696" s="2" t="s">
        <v>372</v>
      </c>
      <c r="G696" s="2" t="s">
        <v>77</v>
      </c>
      <c r="H696" s="2" t="s">
        <v>692</v>
      </c>
      <c r="I696" s="2" t="s">
        <v>760</v>
      </c>
      <c r="J696" s="2" t="n">
        <v>9</v>
      </c>
      <c r="K696" s="2" t="n">
        <v>23107.98</v>
      </c>
      <c r="L696" s="2" t="s">
        <v>21</v>
      </c>
      <c r="M696" s="2" t="n">
        <v>2.4</v>
      </c>
    </row>
    <row r="697" customFormat="false" ht="15" hidden="false" customHeight="false" outlineLevel="0" collapsed="false">
      <c r="A697" s="2" t="s">
        <v>1380</v>
      </c>
      <c r="B697" s="2" t="n">
        <v>85</v>
      </c>
      <c r="C697" s="2" t="s">
        <v>14</v>
      </c>
      <c r="D697" s="2" t="s">
        <v>15</v>
      </c>
      <c r="E697" s="2" t="s">
        <v>53</v>
      </c>
      <c r="F697" s="2" t="s">
        <v>253</v>
      </c>
      <c r="G697" s="2" t="s">
        <v>86</v>
      </c>
      <c r="H697" s="2" t="s">
        <v>1010</v>
      </c>
      <c r="I697" s="2" t="s">
        <v>1381</v>
      </c>
      <c r="J697" s="2" t="n">
        <v>3</v>
      </c>
      <c r="K697" s="2" t="n">
        <v>3826.11</v>
      </c>
      <c r="L697" s="2" t="s">
        <v>97</v>
      </c>
      <c r="M697" s="2" t="n">
        <v>5</v>
      </c>
    </row>
    <row r="698" customFormat="false" ht="15" hidden="false" customHeight="false" outlineLevel="0" collapsed="false">
      <c r="A698" s="2" t="s">
        <v>1382</v>
      </c>
      <c r="B698" s="2" t="n">
        <v>56</v>
      </c>
      <c r="C698" s="2" t="s">
        <v>14</v>
      </c>
      <c r="D698" s="2" t="s">
        <v>23</v>
      </c>
      <c r="E698" s="2" t="s">
        <v>53</v>
      </c>
      <c r="F698" s="2" t="s">
        <v>54</v>
      </c>
      <c r="G698" s="2" t="s">
        <v>26</v>
      </c>
      <c r="H698" s="2" t="s">
        <v>652</v>
      </c>
      <c r="I698" s="2" t="s">
        <v>1297</v>
      </c>
      <c r="J698" s="2" t="n">
        <v>1</v>
      </c>
      <c r="K698" s="2" t="n">
        <v>3149.95</v>
      </c>
      <c r="L698" s="2" t="s">
        <v>21</v>
      </c>
      <c r="M698" s="2" t="n">
        <v>3</v>
      </c>
    </row>
    <row r="699" customFormat="false" ht="15" hidden="false" customHeight="false" outlineLevel="0" collapsed="false">
      <c r="A699" s="2" t="s">
        <v>1383</v>
      </c>
      <c r="B699" s="2" t="n">
        <v>77</v>
      </c>
      <c r="C699" s="2" t="s">
        <v>30</v>
      </c>
      <c r="D699" s="2" t="s">
        <v>15</v>
      </c>
      <c r="E699" s="2" t="s">
        <v>59</v>
      </c>
      <c r="F699" s="2" t="s">
        <v>60</v>
      </c>
      <c r="G699" s="2" t="s">
        <v>26</v>
      </c>
      <c r="H699" s="2" t="s">
        <v>734</v>
      </c>
      <c r="I699" s="2" t="s">
        <v>861</v>
      </c>
      <c r="J699" s="2" t="n">
        <v>6</v>
      </c>
      <c r="K699" s="2" t="n">
        <v>10710.53</v>
      </c>
      <c r="L699" s="2" t="s">
        <v>21</v>
      </c>
      <c r="M699" s="2" t="n">
        <v>4.2</v>
      </c>
    </row>
    <row r="700" customFormat="false" ht="15" hidden="false" customHeight="false" outlineLevel="0" collapsed="false">
      <c r="A700" s="2" t="s">
        <v>1384</v>
      </c>
      <c r="B700" s="2" t="n">
        <v>41</v>
      </c>
      <c r="C700" s="2" t="s">
        <v>30</v>
      </c>
      <c r="D700" s="2" t="s">
        <v>31</v>
      </c>
      <c r="E700" s="2" t="s">
        <v>42</v>
      </c>
      <c r="F700" s="2" t="s">
        <v>108</v>
      </c>
      <c r="G700" s="2" t="s">
        <v>48</v>
      </c>
      <c r="H700" s="2" t="s">
        <v>1385</v>
      </c>
      <c r="I700" s="2" t="s">
        <v>429</v>
      </c>
      <c r="J700" s="2" t="n">
        <v>3</v>
      </c>
      <c r="K700" s="2" t="n">
        <v>12210.91</v>
      </c>
      <c r="L700" s="2" t="s">
        <v>97</v>
      </c>
      <c r="M700" s="2" t="n">
        <v>2.4</v>
      </c>
    </row>
    <row r="701" customFormat="false" ht="15" hidden="false" customHeight="false" outlineLevel="0" collapsed="false">
      <c r="A701" s="2" t="s">
        <v>1386</v>
      </c>
      <c r="B701" s="2" t="n">
        <v>61</v>
      </c>
      <c r="C701" s="2" t="s">
        <v>14</v>
      </c>
      <c r="D701" s="2" t="s">
        <v>64</v>
      </c>
      <c r="E701" s="2" t="s">
        <v>16</v>
      </c>
      <c r="F701" s="2" t="s">
        <v>90</v>
      </c>
      <c r="G701" s="2" t="s">
        <v>48</v>
      </c>
      <c r="H701" s="2" t="s">
        <v>962</v>
      </c>
      <c r="I701" s="2" t="s">
        <v>815</v>
      </c>
      <c r="J701" s="2" t="n">
        <v>5</v>
      </c>
      <c r="K701" s="2" t="n">
        <v>9073.95</v>
      </c>
      <c r="L701" s="2" t="s">
        <v>21</v>
      </c>
      <c r="M701" s="2" t="n">
        <v>4.6</v>
      </c>
    </row>
    <row r="702" customFormat="false" ht="15" hidden="false" customHeight="false" outlineLevel="0" collapsed="false">
      <c r="A702" s="2" t="s">
        <v>1387</v>
      </c>
      <c r="B702" s="2" t="n">
        <v>20</v>
      </c>
      <c r="C702" s="2" t="s">
        <v>14</v>
      </c>
      <c r="D702" s="2" t="s">
        <v>52</v>
      </c>
      <c r="E702" s="2" t="s">
        <v>42</v>
      </c>
      <c r="F702" s="2" t="s">
        <v>69</v>
      </c>
      <c r="G702" s="2" t="s">
        <v>18</v>
      </c>
      <c r="H702" s="2" t="s">
        <v>184</v>
      </c>
      <c r="I702" s="2" t="s">
        <v>341</v>
      </c>
      <c r="J702" s="2" t="n">
        <v>1</v>
      </c>
      <c r="K702" s="2" t="n">
        <v>9273.68</v>
      </c>
      <c r="L702" s="2" t="s">
        <v>57</v>
      </c>
      <c r="M702" s="2" t="n">
        <v>4.7</v>
      </c>
    </row>
    <row r="703" customFormat="false" ht="15" hidden="false" customHeight="false" outlineLevel="0" collapsed="false">
      <c r="A703" s="2" t="s">
        <v>1388</v>
      </c>
      <c r="B703" s="2" t="n">
        <v>80</v>
      </c>
      <c r="C703" s="2" t="s">
        <v>30</v>
      </c>
      <c r="D703" s="2" t="s">
        <v>23</v>
      </c>
      <c r="E703" s="2" t="s">
        <v>24</v>
      </c>
      <c r="F703" s="2" t="s">
        <v>372</v>
      </c>
      <c r="G703" s="2" t="s">
        <v>48</v>
      </c>
      <c r="H703" s="2" t="s">
        <v>577</v>
      </c>
      <c r="I703" s="2" t="s">
        <v>1355</v>
      </c>
      <c r="J703" s="2" t="n">
        <v>8</v>
      </c>
      <c r="K703" s="2" t="n">
        <v>22578.39</v>
      </c>
      <c r="L703" s="2" t="s">
        <v>57</v>
      </c>
      <c r="M703" s="2" t="n">
        <v>3.2</v>
      </c>
    </row>
    <row r="704" customFormat="false" ht="15" hidden="false" customHeight="false" outlineLevel="0" collapsed="false">
      <c r="A704" s="2" t="s">
        <v>1389</v>
      </c>
      <c r="B704" s="2" t="n">
        <v>29</v>
      </c>
      <c r="C704" s="2" t="s">
        <v>14</v>
      </c>
      <c r="D704" s="2" t="s">
        <v>64</v>
      </c>
      <c r="E704" s="2" t="s">
        <v>42</v>
      </c>
      <c r="F704" s="2" t="s">
        <v>43</v>
      </c>
      <c r="G704" s="2" t="s">
        <v>86</v>
      </c>
      <c r="H704" s="2" t="s">
        <v>734</v>
      </c>
      <c r="I704" s="2" t="s">
        <v>396</v>
      </c>
      <c r="J704" s="2" t="n">
        <v>3</v>
      </c>
      <c r="K704" s="2" t="n">
        <v>8664.66</v>
      </c>
      <c r="L704" s="2" t="s">
        <v>21</v>
      </c>
      <c r="M704" s="2" t="n">
        <v>3.3</v>
      </c>
    </row>
    <row r="705" customFormat="false" ht="15" hidden="false" customHeight="false" outlineLevel="0" collapsed="false">
      <c r="A705" s="2" t="s">
        <v>1390</v>
      </c>
      <c r="B705" s="2" t="n">
        <v>48</v>
      </c>
      <c r="C705" s="2" t="s">
        <v>30</v>
      </c>
      <c r="D705" s="2" t="s">
        <v>23</v>
      </c>
      <c r="E705" s="2" t="s">
        <v>16</v>
      </c>
      <c r="F705" s="2" t="s">
        <v>90</v>
      </c>
      <c r="G705" s="2" t="s">
        <v>33</v>
      </c>
      <c r="H705" s="2" t="s">
        <v>461</v>
      </c>
      <c r="I705" s="2" t="s">
        <v>489</v>
      </c>
      <c r="J705" s="2" t="n">
        <v>4</v>
      </c>
      <c r="K705" s="2" t="n">
        <v>9700.08</v>
      </c>
      <c r="L705" s="2" t="s">
        <v>21</v>
      </c>
      <c r="M705" s="2" t="n">
        <v>4.2</v>
      </c>
    </row>
    <row r="706" customFormat="false" ht="15" hidden="false" customHeight="false" outlineLevel="0" collapsed="false">
      <c r="A706" s="2" t="s">
        <v>1391</v>
      </c>
      <c r="B706" s="2" t="n">
        <v>37</v>
      </c>
      <c r="C706" s="2" t="s">
        <v>30</v>
      </c>
      <c r="D706" s="2" t="s">
        <v>52</v>
      </c>
      <c r="E706" s="2" t="s">
        <v>53</v>
      </c>
      <c r="F706" s="2" t="s">
        <v>154</v>
      </c>
      <c r="G706" s="2" t="s">
        <v>77</v>
      </c>
      <c r="H706" s="2" t="s">
        <v>168</v>
      </c>
      <c r="I706" s="2" t="s">
        <v>526</v>
      </c>
      <c r="J706" s="2" t="n">
        <v>1</v>
      </c>
      <c r="K706" s="2" t="n">
        <v>4134.37</v>
      </c>
      <c r="L706" s="2" t="s">
        <v>57</v>
      </c>
      <c r="M706" s="2" t="n">
        <v>3.3</v>
      </c>
    </row>
    <row r="707" customFormat="false" ht="15" hidden="false" customHeight="false" outlineLevel="0" collapsed="false">
      <c r="A707" s="2" t="s">
        <v>1392</v>
      </c>
      <c r="B707" s="2" t="n">
        <v>31</v>
      </c>
      <c r="C707" s="2" t="s">
        <v>30</v>
      </c>
      <c r="D707" s="2" t="s">
        <v>52</v>
      </c>
      <c r="E707" s="2" t="s">
        <v>53</v>
      </c>
      <c r="F707" s="2" t="s">
        <v>54</v>
      </c>
      <c r="G707" s="2" t="s">
        <v>86</v>
      </c>
      <c r="H707" s="2" t="s">
        <v>233</v>
      </c>
      <c r="I707" s="2" t="s">
        <v>858</v>
      </c>
      <c r="J707" s="2" t="n">
        <v>2</v>
      </c>
      <c r="K707" s="2" t="n">
        <v>3379.49</v>
      </c>
      <c r="L707" s="2" t="s">
        <v>97</v>
      </c>
      <c r="M707" s="2" t="n">
        <v>4.2</v>
      </c>
    </row>
    <row r="708" customFormat="false" ht="15" hidden="false" customHeight="false" outlineLevel="0" collapsed="false">
      <c r="A708" s="2" t="s">
        <v>1393</v>
      </c>
      <c r="B708" s="2" t="n">
        <v>80</v>
      </c>
      <c r="C708" s="2" t="s">
        <v>14</v>
      </c>
      <c r="D708" s="2" t="s">
        <v>31</v>
      </c>
      <c r="E708" s="2" t="s">
        <v>24</v>
      </c>
      <c r="F708" s="2" t="s">
        <v>25</v>
      </c>
      <c r="G708" s="2" t="s">
        <v>77</v>
      </c>
      <c r="H708" s="2" t="s">
        <v>167</v>
      </c>
      <c r="I708" s="2" t="s">
        <v>945</v>
      </c>
      <c r="J708" s="2" t="n">
        <v>8</v>
      </c>
      <c r="K708" s="2" t="n">
        <v>19195.08</v>
      </c>
      <c r="L708" s="2" t="s">
        <v>57</v>
      </c>
      <c r="M708" s="2" t="n">
        <v>2.7</v>
      </c>
    </row>
    <row r="709" customFormat="false" ht="15" hidden="false" customHeight="false" outlineLevel="0" collapsed="false">
      <c r="A709" s="2" t="s">
        <v>1394</v>
      </c>
      <c r="B709" s="2" t="n">
        <v>81</v>
      </c>
      <c r="C709" s="2" t="s">
        <v>30</v>
      </c>
      <c r="D709" s="2" t="s">
        <v>52</v>
      </c>
      <c r="E709" s="2" t="s">
        <v>37</v>
      </c>
      <c r="F709" s="2" t="s">
        <v>38</v>
      </c>
      <c r="G709" s="2" t="s">
        <v>86</v>
      </c>
      <c r="H709" s="2" t="s">
        <v>1126</v>
      </c>
      <c r="I709" s="2" t="s">
        <v>1166</v>
      </c>
      <c r="J709" s="2" t="n">
        <v>7</v>
      </c>
      <c r="K709" s="2" t="n">
        <v>8129.98</v>
      </c>
      <c r="L709" s="2" t="s">
        <v>21</v>
      </c>
      <c r="M709" s="2" t="n">
        <v>3.9</v>
      </c>
    </row>
    <row r="710" customFormat="false" ht="15" hidden="false" customHeight="false" outlineLevel="0" collapsed="false">
      <c r="A710" s="2" t="s">
        <v>1395</v>
      </c>
      <c r="B710" s="2" t="n">
        <v>47</v>
      </c>
      <c r="C710" s="2" t="s">
        <v>14</v>
      </c>
      <c r="D710" s="2" t="s">
        <v>23</v>
      </c>
      <c r="E710" s="2" t="s">
        <v>37</v>
      </c>
      <c r="F710" s="2" t="s">
        <v>173</v>
      </c>
      <c r="G710" s="2" t="s">
        <v>26</v>
      </c>
      <c r="H710" s="2" t="s">
        <v>341</v>
      </c>
      <c r="I710" s="2" t="s">
        <v>185</v>
      </c>
      <c r="J710" s="2" t="n">
        <v>1</v>
      </c>
      <c r="K710" s="2" t="n">
        <v>6348.67</v>
      </c>
      <c r="L710" s="2" t="s">
        <v>97</v>
      </c>
      <c r="M710" s="2" t="n">
        <v>3.2</v>
      </c>
    </row>
    <row r="711" customFormat="false" ht="15" hidden="false" customHeight="false" outlineLevel="0" collapsed="false">
      <c r="A711" s="2" t="s">
        <v>1396</v>
      </c>
      <c r="B711" s="2" t="n">
        <v>64</v>
      </c>
      <c r="C711" s="2" t="s">
        <v>30</v>
      </c>
      <c r="D711" s="2" t="s">
        <v>64</v>
      </c>
      <c r="E711" s="2" t="s">
        <v>24</v>
      </c>
      <c r="F711" s="2" t="s">
        <v>147</v>
      </c>
      <c r="G711" s="2" t="s">
        <v>33</v>
      </c>
      <c r="H711" s="2" t="s">
        <v>1397</v>
      </c>
      <c r="I711" s="2" t="s">
        <v>197</v>
      </c>
      <c r="J711" s="2" t="n">
        <v>9</v>
      </c>
      <c r="K711" s="2" t="n">
        <v>18579.15</v>
      </c>
      <c r="L711" s="2" t="s">
        <v>21</v>
      </c>
      <c r="M711" s="2" t="n">
        <v>2.3</v>
      </c>
    </row>
    <row r="712" customFormat="false" ht="15" hidden="false" customHeight="false" outlineLevel="0" collapsed="false">
      <c r="A712" s="2" t="s">
        <v>1398</v>
      </c>
      <c r="B712" s="2" t="n">
        <v>43</v>
      </c>
      <c r="C712" s="2" t="s">
        <v>14</v>
      </c>
      <c r="D712" s="2" t="s">
        <v>23</v>
      </c>
      <c r="E712" s="2" t="s">
        <v>53</v>
      </c>
      <c r="F712" s="2" t="s">
        <v>154</v>
      </c>
      <c r="G712" s="2" t="s">
        <v>77</v>
      </c>
      <c r="H712" s="2" t="s">
        <v>1399</v>
      </c>
      <c r="I712" s="2" t="s">
        <v>859</v>
      </c>
      <c r="J712" s="2" t="n">
        <v>1</v>
      </c>
      <c r="K712" s="2" t="n">
        <v>4014.07</v>
      </c>
      <c r="L712" s="2" t="s">
        <v>21</v>
      </c>
      <c r="M712" s="2" t="n">
        <v>5</v>
      </c>
    </row>
    <row r="713" customFormat="false" ht="15" hidden="false" customHeight="false" outlineLevel="0" collapsed="false">
      <c r="A713" s="2" t="s">
        <v>1400</v>
      </c>
      <c r="B713" s="2" t="n">
        <v>63</v>
      </c>
      <c r="C713" s="2" t="s">
        <v>14</v>
      </c>
      <c r="D713" s="2" t="s">
        <v>64</v>
      </c>
      <c r="E713" s="2" t="s">
        <v>24</v>
      </c>
      <c r="F713" s="2" t="s">
        <v>25</v>
      </c>
      <c r="G713" s="2" t="s">
        <v>86</v>
      </c>
      <c r="H713" s="2" t="s">
        <v>211</v>
      </c>
      <c r="I713" s="2" t="s">
        <v>110</v>
      </c>
      <c r="J713" s="2" t="n">
        <v>8</v>
      </c>
      <c r="K713" s="2" t="n">
        <v>14429.5</v>
      </c>
      <c r="L713" s="2" t="s">
        <v>21</v>
      </c>
      <c r="M713" s="2" t="n">
        <v>3.8</v>
      </c>
    </row>
    <row r="714" customFormat="false" ht="15" hidden="false" customHeight="false" outlineLevel="0" collapsed="false">
      <c r="A714" s="2" t="s">
        <v>1401</v>
      </c>
      <c r="B714" s="2" t="n">
        <v>46</v>
      </c>
      <c r="C714" s="2" t="s">
        <v>30</v>
      </c>
      <c r="D714" s="2" t="s">
        <v>15</v>
      </c>
      <c r="E714" s="2" t="s">
        <v>59</v>
      </c>
      <c r="F714" s="2" t="s">
        <v>202</v>
      </c>
      <c r="G714" s="2" t="s">
        <v>86</v>
      </c>
      <c r="H714" s="2" t="s">
        <v>187</v>
      </c>
      <c r="I714" s="2" t="s">
        <v>424</v>
      </c>
      <c r="J714" s="2" t="n">
        <v>5</v>
      </c>
      <c r="K714" s="2" t="n">
        <v>9573.97</v>
      </c>
      <c r="L714" s="2" t="s">
        <v>21</v>
      </c>
      <c r="M714" s="2" t="n">
        <v>2.5</v>
      </c>
    </row>
    <row r="715" customFormat="false" ht="15" hidden="false" customHeight="false" outlineLevel="0" collapsed="false">
      <c r="A715" s="2" t="s">
        <v>1402</v>
      </c>
      <c r="B715" s="2" t="n">
        <v>24</v>
      </c>
      <c r="C715" s="2" t="s">
        <v>30</v>
      </c>
      <c r="D715" s="2" t="s">
        <v>52</v>
      </c>
      <c r="E715" s="2" t="s">
        <v>42</v>
      </c>
      <c r="F715" s="2" t="s">
        <v>69</v>
      </c>
      <c r="G715" s="2" t="s">
        <v>26</v>
      </c>
      <c r="H715" s="2" t="s">
        <v>816</v>
      </c>
      <c r="I715" s="2" t="s">
        <v>521</v>
      </c>
      <c r="J715" s="2" t="n">
        <v>3</v>
      </c>
      <c r="K715" s="2" t="n">
        <v>10527.89</v>
      </c>
      <c r="L715" s="2" t="s">
        <v>57</v>
      </c>
      <c r="M715" s="2" t="n">
        <v>2</v>
      </c>
    </row>
    <row r="716" customFormat="false" ht="15" hidden="false" customHeight="false" outlineLevel="0" collapsed="false">
      <c r="A716" s="2" t="s">
        <v>1403</v>
      </c>
      <c r="B716" s="2" t="n">
        <v>23</v>
      </c>
      <c r="C716" s="2" t="s">
        <v>14</v>
      </c>
      <c r="D716" s="2" t="s">
        <v>64</v>
      </c>
      <c r="E716" s="2" t="s">
        <v>37</v>
      </c>
      <c r="F716" s="2" t="s">
        <v>158</v>
      </c>
      <c r="G716" s="2" t="s">
        <v>18</v>
      </c>
      <c r="H716" s="2" t="s">
        <v>484</v>
      </c>
      <c r="I716" s="2" t="s">
        <v>329</v>
      </c>
      <c r="J716" s="2" t="n">
        <v>5</v>
      </c>
      <c r="K716" s="2" t="n">
        <v>8262.76</v>
      </c>
      <c r="L716" s="2" t="s">
        <v>21</v>
      </c>
      <c r="M716" s="2" t="n">
        <v>2.4</v>
      </c>
    </row>
    <row r="717" customFormat="false" ht="15" hidden="false" customHeight="false" outlineLevel="0" collapsed="false">
      <c r="A717" s="2" t="s">
        <v>1404</v>
      </c>
      <c r="B717" s="2" t="n">
        <v>30</v>
      </c>
      <c r="C717" s="2" t="s">
        <v>14</v>
      </c>
      <c r="D717" s="2" t="s">
        <v>15</v>
      </c>
      <c r="E717" s="2" t="s">
        <v>59</v>
      </c>
      <c r="F717" s="2" t="s">
        <v>65</v>
      </c>
      <c r="G717" s="2" t="s">
        <v>86</v>
      </c>
      <c r="H717" s="2" t="s">
        <v>678</v>
      </c>
      <c r="I717" s="2" t="s">
        <v>28</v>
      </c>
      <c r="J717" s="2" t="n">
        <v>5</v>
      </c>
      <c r="K717" s="2" t="n">
        <v>7491.96</v>
      </c>
      <c r="L717" s="2" t="s">
        <v>97</v>
      </c>
      <c r="M717" s="2" t="n">
        <v>3.8</v>
      </c>
    </row>
    <row r="718" customFormat="false" ht="15" hidden="false" customHeight="false" outlineLevel="0" collapsed="false">
      <c r="A718" s="2" t="s">
        <v>1405</v>
      </c>
      <c r="B718" s="2" t="n">
        <v>49</v>
      </c>
      <c r="C718" s="2" t="s">
        <v>30</v>
      </c>
      <c r="D718" s="2" t="s">
        <v>15</v>
      </c>
      <c r="E718" s="2" t="s">
        <v>59</v>
      </c>
      <c r="F718" s="2" t="s">
        <v>65</v>
      </c>
      <c r="G718" s="2" t="s">
        <v>86</v>
      </c>
      <c r="H718" s="2" t="s">
        <v>1042</v>
      </c>
      <c r="I718" s="2" t="s">
        <v>165</v>
      </c>
      <c r="J718" s="2" t="n">
        <v>3</v>
      </c>
      <c r="K718" s="2" t="n">
        <v>9638.31</v>
      </c>
      <c r="L718" s="2" t="s">
        <v>21</v>
      </c>
      <c r="M718" s="2" t="n">
        <v>3.4</v>
      </c>
    </row>
    <row r="719" customFormat="false" ht="15" hidden="false" customHeight="false" outlineLevel="0" collapsed="false">
      <c r="A719" s="2" t="s">
        <v>1406</v>
      </c>
      <c r="B719" s="2" t="n">
        <v>85</v>
      </c>
      <c r="C719" s="2" t="s">
        <v>30</v>
      </c>
      <c r="D719" s="2" t="s">
        <v>64</v>
      </c>
      <c r="E719" s="2" t="s">
        <v>16</v>
      </c>
      <c r="F719" s="2" t="s">
        <v>32</v>
      </c>
      <c r="G719" s="2" t="s">
        <v>77</v>
      </c>
      <c r="H719" s="2" t="s">
        <v>268</v>
      </c>
      <c r="I719" s="2" t="s">
        <v>787</v>
      </c>
      <c r="J719" s="2" t="n">
        <v>4</v>
      </c>
      <c r="K719" s="2" t="n">
        <v>11643.83</v>
      </c>
      <c r="L719" s="2" t="s">
        <v>21</v>
      </c>
      <c r="M719" s="2" t="n">
        <v>2.6</v>
      </c>
    </row>
    <row r="720" customFormat="false" ht="15" hidden="false" customHeight="false" outlineLevel="0" collapsed="false">
      <c r="A720" s="2" t="s">
        <v>1407</v>
      </c>
      <c r="B720" s="2" t="n">
        <v>64</v>
      </c>
      <c r="C720" s="2" t="s">
        <v>14</v>
      </c>
      <c r="D720" s="2" t="s">
        <v>52</v>
      </c>
      <c r="E720" s="2" t="s">
        <v>16</v>
      </c>
      <c r="F720" s="2" t="s">
        <v>90</v>
      </c>
      <c r="G720" s="2" t="s">
        <v>48</v>
      </c>
      <c r="H720" s="2" t="s">
        <v>1173</v>
      </c>
      <c r="I720" s="2" t="s">
        <v>895</v>
      </c>
      <c r="J720" s="2" t="n">
        <v>5</v>
      </c>
      <c r="K720" s="2" t="n">
        <v>8989.82</v>
      </c>
      <c r="L720" s="2" t="s">
        <v>21</v>
      </c>
      <c r="M720" s="2" t="n">
        <v>4</v>
      </c>
    </row>
    <row r="721" customFormat="false" ht="15" hidden="false" customHeight="false" outlineLevel="0" collapsed="false">
      <c r="A721" s="2" t="s">
        <v>1408</v>
      </c>
      <c r="B721" s="2" t="n">
        <v>25</v>
      </c>
      <c r="C721" s="2" t="s">
        <v>30</v>
      </c>
      <c r="D721" s="2" t="s">
        <v>31</v>
      </c>
      <c r="E721" s="2" t="s">
        <v>37</v>
      </c>
      <c r="F721" s="2" t="s">
        <v>151</v>
      </c>
      <c r="G721" s="2" t="s">
        <v>26</v>
      </c>
      <c r="H721" s="2" t="s">
        <v>121</v>
      </c>
      <c r="I721" s="2" t="s">
        <v>532</v>
      </c>
      <c r="J721" s="2" t="n">
        <v>4</v>
      </c>
      <c r="K721" s="2" t="n">
        <v>10147.72</v>
      </c>
      <c r="L721" s="2" t="s">
        <v>57</v>
      </c>
      <c r="M721" s="2" t="n">
        <v>3.3</v>
      </c>
    </row>
    <row r="722" customFormat="false" ht="15" hidden="false" customHeight="false" outlineLevel="0" collapsed="false">
      <c r="A722" s="2" t="s">
        <v>1409</v>
      </c>
      <c r="B722" s="2" t="n">
        <v>84</v>
      </c>
      <c r="C722" s="2" t="s">
        <v>30</v>
      </c>
      <c r="D722" s="2" t="s">
        <v>52</v>
      </c>
      <c r="E722" s="2" t="s">
        <v>53</v>
      </c>
      <c r="F722" s="2" t="s">
        <v>54</v>
      </c>
      <c r="G722" s="2" t="s">
        <v>48</v>
      </c>
      <c r="H722" s="2" t="s">
        <v>1410</v>
      </c>
      <c r="I722" s="2" t="s">
        <v>1363</v>
      </c>
      <c r="J722" s="2" t="n">
        <v>3</v>
      </c>
      <c r="K722" s="2" t="n">
        <v>4356.47</v>
      </c>
      <c r="L722" s="2" t="s">
        <v>21</v>
      </c>
      <c r="M722" s="2" t="n">
        <v>2.1</v>
      </c>
    </row>
    <row r="723" customFormat="false" ht="15" hidden="false" customHeight="false" outlineLevel="0" collapsed="false">
      <c r="A723" s="2" t="s">
        <v>1411</v>
      </c>
      <c r="B723" s="2" t="n">
        <v>69</v>
      </c>
      <c r="C723" s="2" t="s">
        <v>30</v>
      </c>
      <c r="D723" s="2" t="s">
        <v>64</v>
      </c>
      <c r="E723" s="2" t="s">
        <v>24</v>
      </c>
      <c r="F723" s="2" t="s">
        <v>94</v>
      </c>
      <c r="G723" s="2" t="s">
        <v>48</v>
      </c>
      <c r="H723" s="2" t="s">
        <v>110</v>
      </c>
      <c r="I723" s="2" t="s">
        <v>670</v>
      </c>
      <c r="J723" s="2" t="n">
        <v>7</v>
      </c>
      <c r="K723" s="2" t="n">
        <v>21782.82</v>
      </c>
      <c r="L723" s="2" t="s">
        <v>21</v>
      </c>
      <c r="M723" s="2" t="n">
        <v>2.7</v>
      </c>
    </row>
    <row r="724" customFormat="false" ht="15" hidden="false" customHeight="false" outlineLevel="0" collapsed="false">
      <c r="A724" s="2" t="s">
        <v>1412</v>
      </c>
      <c r="B724" s="2" t="n">
        <v>43</v>
      </c>
      <c r="C724" s="2" t="s">
        <v>30</v>
      </c>
      <c r="D724" s="2" t="s">
        <v>31</v>
      </c>
      <c r="E724" s="2" t="s">
        <v>42</v>
      </c>
      <c r="F724" s="2" t="s">
        <v>81</v>
      </c>
      <c r="G724" s="2" t="s">
        <v>77</v>
      </c>
      <c r="H724" s="2" t="s">
        <v>217</v>
      </c>
      <c r="I724" s="2" t="s">
        <v>1413</v>
      </c>
      <c r="J724" s="2" t="n">
        <v>2</v>
      </c>
      <c r="K724" s="2" t="n">
        <v>9027.97</v>
      </c>
      <c r="L724" s="2" t="s">
        <v>21</v>
      </c>
      <c r="M724" s="2" t="n">
        <v>3.1</v>
      </c>
    </row>
    <row r="725" customFormat="false" ht="15" hidden="false" customHeight="false" outlineLevel="0" collapsed="false">
      <c r="A725" s="2" t="s">
        <v>1414</v>
      </c>
      <c r="B725" s="2" t="n">
        <v>61</v>
      </c>
      <c r="C725" s="2" t="s">
        <v>14</v>
      </c>
      <c r="D725" s="2" t="s">
        <v>31</v>
      </c>
      <c r="E725" s="2" t="s">
        <v>42</v>
      </c>
      <c r="F725" s="2" t="s">
        <v>81</v>
      </c>
      <c r="G725" s="2" t="s">
        <v>18</v>
      </c>
      <c r="H725" s="2" t="s">
        <v>740</v>
      </c>
      <c r="I725" s="2" t="s">
        <v>741</v>
      </c>
      <c r="J725" s="2" t="n">
        <v>5</v>
      </c>
      <c r="K725" s="2" t="n">
        <v>9763.5</v>
      </c>
      <c r="L725" s="2" t="s">
        <v>21</v>
      </c>
      <c r="M725" s="2" t="n">
        <v>1.5</v>
      </c>
    </row>
    <row r="726" customFormat="false" ht="15" hidden="false" customHeight="false" outlineLevel="0" collapsed="false">
      <c r="A726" s="2" t="s">
        <v>1415</v>
      </c>
      <c r="B726" s="2" t="n">
        <v>25</v>
      </c>
      <c r="C726" s="2" t="s">
        <v>30</v>
      </c>
      <c r="D726" s="2" t="s">
        <v>15</v>
      </c>
      <c r="E726" s="2" t="s">
        <v>37</v>
      </c>
      <c r="F726" s="2" t="s">
        <v>173</v>
      </c>
      <c r="G726" s="2" t="s">
        <v>86</v>
      </c>
      <c r="H726" s="2" t="s">
        <v>652</v>
      </c>
      <c r="I726" s="2" t="s">
        <v>528</v>
      </c>
      <c r="J726" s="2" t="n">
        <v>4</v>
      </c>
      <c r="K726" s="2" t="n">
        <v>4482.45</v>
      </c>
      <c r="L726" s="2" t="s">
        <v>21</v>
      </c>
      <c r="M726" s="2" t="n">
        <v>3.5</v>
      </c>
    </row>
    <row r="727" customFormat="false" ht="15" hidden="false" customHeight="false" outlineLevel="0" collapsed="false">
      <c r="A727" s="2" t="s">
        <v>1416</v>
      </c>
      <c r="B727" s="2" t="n">
        <v>61</v>
      </c>
      <c r="C727" s="2" t="s">
        <v>14</v>
      </c>
      <c r="D727" s="2" t="s">
        <v>23</v>
      </c>
      <c r="E727" s="2" t="s">
        <v>24</v>
      </c>
      <c r="F727" s="2" t="s">
        <v>147</v>
      </c>
      <c r="G727" s="2" t="s">
        <v>33</v>
      </c>
      <c r="H727" s="2" t="s">
        <v>754</v>
      </c>
      <c r="I727" s="2" t="s">
        <v>248</v>
      </c>
      <c r="J727" s="2" t="n">
        <v>8</v>
      </c>
      <c r="K727" s="2" t="n">
        <v>17067.9</v>
      </c>
      <c r="L727" s="2" t="s">
        <v>21</v>
      </c>
      <c r="M727" s="2" t="n">
        <v>4.6</v>
      </c>
    </row>
    <row r="728" customFormat="false" ht="15" hidden="false" customHeight="false" outlineLevel="0" collapsed="false">
      <c r="A728" s="2" t="s">
        <v>1417</v>
      </c>
      <c r="B728" s="2" t="n">
        <v>35</v>
      </c>
      <c r="C728" s="2" t="s">
        <v>30</v>
      </c>
      <c r="D728" s="2" t="s">
        <v>23</v>
      </c>
      <c r="E728" s="2" t="s">
        <v>37</v>
      </c>
      <c r="F728" s="2" t="s">
        <v>151</v>
      </c>
      <c r="G728" s="2" t="s">
        <v>86</v>
      </c>
      <c r="H728" s="2" t="s">
        <v>737</v>
      </c>
      <c r="I728" s="2" t="s">
        <v>170</v>
      </c>
      <c r="J728" s="2" t="n">
        <v>3</v>
      </c>
      <c r="K728" s="2" t="n">
        <v>6625.76</v>
      </c>
      <c r="L728" s="2" t="s">
        <v>97</v>
      </c>
      <c r="M728" s="2" t="n">
        <v>3.3</v>
      </c>
    </row>
    <row r="729" customFormat="false" ht="15" hidden="false" customHeight="false" outlineLevel="0" collapsed="false">
      <c r="A729" s="2" t="s">
        <v>1418</v>
      </c>
      <c r="B729" s="2" t="n">
        <v>72</v>
      </c>
      <c r="C729" s="2" t="s">
        <v>30</v>
      </c>
      <c r="D729" s="2" t="s">
        <v>31</v>
      </c>
      <c r="E729" s="2" t="s">
        <v>42</v>
      </c>
      <c r="F729" s="2" t="s">
        <v>69</v>
      </c>
      <c r="G729" s="2" t="s">
        <v>77</v>
      </c>
      <c r="H729" s="2" t="s">
        <v>352</v>
      </c>
      <c r="I729" s="2" t="s">
        <v>1419</v>
      </c>
      <c r="J729" s="2" t="n">
        <v>5</v>
      </c>
      <c r="K729" s="2" t="n">
        <v>8672.47</v>
      </c>
      <c r="L729" s="2" t="s">
        <v>21</v>
      </c>
      <c r="M729" s="2" t="n">
        <v>3.7</v>
      </c>
    </row>
    <row r="730" customFormat="false" ht="15" hidden="false" customHeight="false" outlineLevel="0" collapsed="false">
      <c r="A730" s="2" t="s">
        <v>1420</v>
      </c>
      <c r="B730" s="2" t="n">
        <v>85</v>
      </c>
      <c r="C730" s="2" t="s">
        <v>30</v>
      </c>
      <c r="D730" s="2" t="s">
        <v>23</v>
      </c>
      <c r="E730" s="2" t="s">
        <v>24</v>
      </c>
      <c r="F730" s="2" t="s">
        <v>94</v>
      </c>
      <c r="G730" s="2" t="s">
        <v>33</v>
      </c>
      <c r="H730" s="2" t="s">
        <v>945</v>
      </c>
      <c r="I730" s="2" t="s">
        <v>1421</v>
      </c>
      <c r="J730" s="2" t="n">
        <v>6</v>
      </c>
      <c r="K730" s="2" t="n">
        <v>17423.2</v>
      </c>
      <c r="L730" s="2" t="s">
        <v>21</v>
      </c>
      <c r="M730" s="2" t="n">
        <v>4.2</v>
      </c>
    </row>
    <row r="731" customFormat="false" ht="15" hidden="false" customHeight="false" outlineLevel="0" collapsed="false">
      <c r="A731" s="2" t="s">
        <v>1422</v>
      </c>
      <c r="B731" s="2" t="n">
        <v>71</v>
      </c>
      <c r="C731" s="2" t="s">
        <v>14</v>
      </c>
      <c r="D731" s="2" t="s">
        <v>64</v>
      </c>
      <c r="E731" s="2" t="s">
        <v>24</v>
      </c>
      <c r="F731" s="2" t="s">
        <v>147</v>
      </c>
      <c r="G731" s="2" t="s">
        <v>77</v>
      </c>
      <c r="H731" s="2" t="s">
        <v>365</v>
      </c>
      <c r="I731" s="2" t="s">
        <v>949</v>
      </c>
      <c r="J731" s="2" t="n">
        <v>7</v>
      </c>
      <c r="K731" s="2" t="n">
        <v>10203.87</v>
      </c>
      <c r="L731" s="2" t="s">
        <v>21</v>
      </c>
      <c r="M731" s="2" t="n">
        <v>3.9</v>
      </c>
    </row>
    <row r="732" customFormat="false" ht="15" hidden="false" customHeight="false" outlineLevel="0" collapsed="false">
      <c r="A732" s="2" t="s">
        <v>1423</v>
      </c>
      <c r="B732" s="2" t="n">
        <v>85</v>
      </c>
      <c r="C732" s="2" t="s">
        <v>14</v>
      </c>
      <c r="D732" s="2" t="s">
        <v>64</v>
      </c>
      <c r="E732" s="2" t="s">
        <v>53</v>
      </c>
      <c r="F732" s="2" t="s">
        <v>253</v>
      </c>
      <c r="G732" s="2" t="s">
        <v>86</v>
      </c>
      <c r="H732" s="2" t="s">
        <v>1094</v>
      </c>
      <c r="I732" s="2" t="s">
        <v>870</v>
      </c>
      <c r="J732" s="2" t="n">
        <v>4</v>
      </c>
      <c r="K732" s="2" t="n">
        <v>4588.46</v>
      </c>
      <c r="L732" s="2" t="s">
        <v>119</v>
      </c>
      <c r="M732" s="2"/>
    </row>
    <row r="733" customFormat="false" ht="15" hidden="false" customHeight="false" outlineLevel="0" collapsed="false">
      <c r="A733" s="2" t="s">
        <v>1424</v>
      </c>
      <c r="B733" s="2" t="n">
        <v>70</v>
      </c>
      <c r="C733" s="2" t="s">
        <v>14</v>
      </c>
      <c r="D733" s="2" t="s">
        <v>31</v>
      </c>
      <c r="E733" s="2" t="s">
        <v>59</v>
      </c>
      <c r="F733" s="2" t="s">
        <v>202</v>
      </c>
      <c r="G733" s="2" t="s">
        <v>86</v>
      </c>
      <c r="H733" s="2" t="s">
        <v>557</v>
      </c>
      <c r="I733" s="2" t="s">
        <v>1425</v>
      </c>
      <c r="J733" s="2" t="n">
        <v>7</v>
      </c>
      <c r="K733" s="2" t="n">
        <v>10676.1</v>
      </c>
      <c r="L733" s="2" t="s">
        <v>119</v>
      </c>
      <c r="M733" s="2"/>
    </row>
    <row r="734" customFormat="false" ht="15" hidden="false" customHeight="false" outlineLevel="0" collapsed="false">
      <c r="A734" s="2" t="s">
        <v>1426</v>
      </c>
      <c r="B734" s="2" t="n">
        <v>56</v>
      </c>
      <c r="C734" s="2" t="s">
        <v>30</v>
      </c>
      <c r="D734" s="2" t="s">
        <v>52</v>
      </c>
      <c r="E734" s="2" t="s">
        <v>42</v>
      </c>
      <c r="F734" s="2" t="s">
        <v>43</v>
      </c>
      <c r="G734" s="2" t="s">
        <v>18</v>
      </c>
      <c r="H734" s="2" t="s">
        <v>244</v>
      </c>
      <c r="I734" s="2" t="s">
        <v>1421</v>
      </c>
      <c r="J734" s="2" t="n">
        <v>1</v>
      </c>
      <c r="K734" s="2" t="n">
        <v>10786.02</v>
      </c>
      <c r="L734" s="2" t="s">
        <v>21</v>
      </c>
      <c r="M734" s="2" t="n">
        <v>3.7</v>
      </c>
    </row>
    <row r="735" customFormat="false" ht="15" hidden="false" customHeight="false" outlineLevel="0" collapsed="false">
      <c r="A735" s="2" t="s">
        <v>1427</v>
      </c>
      <c r="B735" s="2" t="n">
        <v>80</v>
      </c>
      <c r="C735" s="2" t="s">
        <v>14</v>
      </c>
      <c r="D735" s="2" t="s">
        <v>31</v>
      </c>
      <c r="E735" s="2" t="s">
        <v>24</v>
      </c>
      <c r="F735" s="2" t="s">
        <v>372</v>
      </c>
      <c r="G735" s="2" t="s">
        <v>86</v>
      </c>
      <c r="H735" s="2" t="s">
        <v>663</v>
      </c>
      <c r="I735" s="2" t="s">
        <v>529</v>
      </c>
      <c r="J735" s="2" t="n">
        <v>10</v>
      </c>
      <c r="K735" s="2" t="n">
        <v>15599.2</v>
      </c>
      <c r="L735" s="2" t="s">
        <v>21</v>
      </c>
      <c r="M735" s="2" t="n">
        <v>3.8</v>
      </c>
    </row>
    <row r="736" customFormat="false" ht="15" hidden="false" customHeight="false" outlineLevel="0" collapsed="false">
      <c r="A736" s="2" t="s">
        <v>1428</v>
      </c>
      <c r="B736" s="2" t="n">
        <v>61</v>
      </c>
      <c r="C736" s="2" t="s">
        <v>30</v>
      </c>
      <c r="D736" s="2" t="s">
        <v>52</v>
      </c>
      <c r="E736" s="2" t="s">
        <v>37</v>
      </c>
      <c r="F736" s="2" t="s">
        <v>151</v>
      </c>
      <c r="G736" s="2" t="s">
        <v>18</v>
      </c>
      <c r="H736" s="2" t="s">
        <v>841</v>
      </c>
      <c r="I736" s="2" t="s">
        <v>82</v>
      </c>
      <c r="J736" s="2" t="n">
        <v>3</v>
      </c>
      <c r="K736" s="2" t="n">
        <v>5291.33</v>
      </c>
      <c r="L736" s="2" t="s">
        <v>21</v>
      </c>
      <c r="M736" s="2" t="n">
        <v>4.3</v>
      </c>
    </row>
    <row r="737" customFormat="false" ht="15" hidden="false" customHeight="false" outlineLevel="0" collapsed="false">
      <c r="A737" s="2" t="s">
        <v>1429</v>
      </c>
      <c r="B737" s="2" t="n">
        <v>29</v>
      </c>
      <c r="C737" s="2" t="s">
        <v>30</v>
      </c>
      <c r="D737" s="2" t="s">
        <v>52</v>
      </c>
      <c r="E737" s="2" t="s">
        <v>16</v>
      </c>
      <c r="F737" s="2" t="s">
        <v>32</v>
      </c>
      <c r="G737" s="2" t="s">
        <v>33</v>
      </c>
      <c r="H737" s="2" t="s">
        <v>751</v>
      </c>
      <c r="I737" s="2" t="s">
        <v>1430</v>
      </c>
      <c r="J737" s="2" t="n">
        <v>5</v>
      </c>
      <c r="K737" s="2" t="n">
        <v>11257.26</v>
      </c>
      <c r="L737" s="2" t="s">
        <v>21</v>
      </c>
      <c r="M737" s="2" t="n">
        <v>3.8</v>
      </c>
    </row>
    <row r="738" customFormat="false" ht="15" hidden="false" customHeight="false" outlineLevel="0" collapsed="false">
      <c r="A738" s="2" t="s">
        <v>1431</v>
      </c>
      <c r="B738" s="2" t="n">
        <v>53</v>
      </c>
      <c r="C738" s="2" t="s">
        <v>14</v>
      </c>
      <c r="D738" s="2" t="s">
        <v>64</v>
      </c>
      <c r="E738" s="2" t="s">
        <v>37</v>
      </c>
      <c r="F738" s="2" t="s">
        <v>158</v>
      </c>
      <c r="G738" s="2" t="s">
        <v>26</v>
      </c>
      <c r="H738" s="2" t="s">
        <v>71</v>
      </c>
      <c r="I738" s="2" t="s">
        <v>411</v>
      </c>
      <c r="J738" s="2" t="n">
        <v>5</v>
      </c>
      <c r="K738" s="2" t="n">
        <v>5847.48</v>
      </c>
      <c r="L738" s="2" t="s">
        <v>21</v>
      </c>
      <c r="M738" s="2" t="n">
        <v>4.2</v>
      </c>
    </row>
    <row r="739" customFormat="false" ht="15" hidden="false" customHeight="false" outlineLevel="0" collapsed="false">
      <c r="A739" s="2" t="s">
        <v>1432</v>
      </c>
      <c r="B739" s="2" t="n">
        <v>42</v>
      </c>
      <c r="C739" s="2" t="s">
        <v>14</v>
      </c>
      <c r="D739" s="2" t="s">
        <v>23</v>
      </c>
      <c r="E739" s="2" t="s">
        <v>24</v>
      </c>
      <c r="F739" s="2" t="s">
        <v>147</v>
      </c>
      <c r="G739" s="2" t="s">
        <v>77</v>
      </c>
      <c r="H739" s="2" t="s">
        <v>297</v>
      </c>
      <c r="I739" s="2" t="s">
        <v>681</v>
      </c>
      <c r="J739" s="2" t="n">
        <v>9</v>
      </c>
      <c r="K739" s="2" t="n">
        <v>19810.92</v>
      </c>
      <c r="L739" s="2" t="s">
        <v>57</v>
      </c>
      <c r="M739" s="2" t="n">
        <v>3.1</v>
      </c>
    </row>
    <row r="740" customFormat="false" ht="15" hidden="false" customHeight="false" outlineLevel="0" collapsed="false">
      <c r="A740" s="2" t="s">
        <v>1433</v>
      </c>
      <c r="B740" s="2" t="n">
        <v>41</v>
      </c>
      <c r="C740" s="2" t="s">
        <v>14</v>
      </c>
      <c r="D740" s="2" t="s">
        <v>15</v>
      </c>
      <c r="E740" s="2" t="s">
        <v>16</v>
      </c>
      <c r="F740" s="2" t="s">
        <v>17</v>
      </c>
      <c r="G740" s="2" t="s">
        <v>48</v>
      </c>
      <c r="H740" s="2" t="s">
        <v>325</v>
      </c>
      <c r="I740" s="2" t="s">
        <v>1434</v>
      </c>
      <c r="J740" s="2" t="n">
        <v>1</v>
      </c>
      <c r="K740" s="2" t="n">
        <v>8496.55</v>
      </c>
      <c r="L740" s="2" t="s">
        <v>21</v>
      </c>
      <c r="M740" s="2" t="n">
        <v>3.6</v>
      </c>
    </row>
    <row r="741" customFormat="false" ht="15" hidden="false" customHeight="false" outlineLevel="0" collapsed="false">
      <c r="A741" s="2" t="s">
        <v>1435</v>
      </c>
      <c r="B741" s="2" t="n">
        <v>20</v>
      </c>
      <c r="C741" s="2" t="s">
        <v>30</v>
      </c>
      <c r="D741" s="2" t="s">
        <v>52</v>
      </c>
      <c r="E741" s="2" t="s">
        <v>16</v>
      </c>
      <c r="F741" s="2" t="s">
        <v>32</v>
      </c>
      <c r="G741" s="2" t="s">
        <v>86</v>
      </c>
      <c r="H741" s="2" t="s">
        <v>896</v>
      </c>
      <c r="I741" s="2" t="s">
        <v>383</v>
      </c>
      <c r="J741" s="2" t="n">
        <v>3</v>
      </c>
      <c r="K741" s="2" t="n">
        <v>7943.81</v>
      </c>
      <c r="L741" s="2" t="s">
        <v>21</v>
      </c>
      <c r="M741" s="2" t="n">
        <v>4.1</v>
      </c>
    </row>
    <row r="742" customFormat="false" ht="15" hidden="false" customHeight="false" outlineLevel="0" collapsed="false">
      <c r="A742" s="2" t="s">
        <v>1436</v>
      </c>
      <c r="B742" s="2" t="n">
        <v>30</v>
      </c>
      <c r="C742" s="2" t="s">
        <v>14</v>
      </c>
      <c r="D742" s="2" t="s">
        <v>15</v>
      </c>
      <c r="E742" s="2" t="s">
        <v>16</v>
      </c>
      <c r="F742" s="2" t="s">
        <v>17</v>
      </c>
      <c r="G742" s="2" t="s">
        <v>33</v>
      </c>
      <c r="H742" s="2" t="s">
        <v>421</v>
      </c>
      <c r="I742" s="2" t="s">
        <v>1437</v>
      </c>
      <c r="J742" s="2" t="n">
        <v>6</v>
      </c>
      <c r="K742" s="2" t="n">
        <v>12526.99</v>
      </c>
      <c r="L742" s="2" t="s">
        <v>21</v>
      </c>
      <c r="M742" s="2" t="n">
        <v>5</v>
      </c>
    </row>
    <row r="743" customFormat="false" ht="15" hidden="false" customHeight="false" outlineLevel="0" collapsed="false">
      <c r="A743" s="2" t="s">
        <v>1438</v>
      </c>
      <c r="B743" s="2" t="n">
        <v>41</v>
      </c>
      <c r="C743" s="2" t="s">
        <v>14</v>
      </c>
      <c r="D743" s="2" t="s">
        <v>31</v>
      </c>
      <c r="E743" s="2" t="s">
        <v>59</v>
      </c>
      <c r="F743" s="2" t="s">
        <v>85</v>
      </c>
      <c r="G743" s="2" t="s">
        <v>86</v>
      </c>
      <c r="H743" s="2" t="s">
        <v>736</v>
      </c>
      <c r="I743" s="2" t="s">
        <v>1155</v>
      </c>
      <c r="J743" s="2" t="n">
        <v>7</v>
      </c>
      <c r="K743" s="2" t="n">
        <v>11398.37</v>
      </c>
      <c r="L743" s="2" t="s">
        <v>21</v>
      </c>
      <c r="M743" s="2" t="n">
        <v>4.6</v>
      </c>
    </row>
    <row r="744" customFormat="false" ht="15" hidden="false" customHeight="false" outlineLevel="0" collapsed="false">
      <c r="A744" s="2" t="s">
        <v>1439</v>
      </c>
      <c r="B744" s="2" t="n">
        <v>33</v>
      </c>
      <c r="C744" s="2" t="s">
        <v>14</v>
      </c>
      <c r="D744" s="2" t="s">
        <v>64</v>
      </c>
      <c r="E744" s="2" t="s">
        <v>16</v>
      </c>
      <c r="F744" s="2" t="s">
        <v>17</v>
      </c>
      <c r="G744" s="2" t="s">
        <v>77</v>
      </c>
      <c r="H744" s="2" t="s">
        <v>359</v>
      </c>
      <c r="I744" s="2" t="s">
        <v>681</v>
      </c>
      <c r="J744" s="2" t="n">
        <v>3</v>
      </c>
      <c r="K744" s="2" t="n">
        <v>6980.15</v>
      </c>
      <c r="L744" s="2" t="s">
        <v>21</v>
      </c>
      <c r="M744" s="2" t="n">
        <v>4.4</v>
      </c>
    </row>
    <row r="745" customFormat="false" ht="15" hidden="false" customHeight="false" outlineLevel="0" collapsed="false">
      <c r="A745" s="2" t="s">
        <v>1440</v>
      </c>
      <c r="B745" s="2" t="n">
        <v>70</v>
      </c>
      <c r="C745" s="2" t="s">
        <v>14</v>
      </c>
      <c r="D745" s="2" t="s">
        <v>52</v>
      </c>
      <c r="E745" s="2" t="s">
        <v>42</v>
      </c>
      <c r="F745" s="2" t="s">
        <v>108</v>
      </c>
      <c r="G745" s="2" t="s">
        <v>48</v>
      </c>
      <c r="H745" s="2" t="s">
        <v>288</v>
      </c>
      <c r="I745" s="2" t="s">
        <v>344</v>
      </c>
      <c r="J745" s="2" t="n">
        <v>6</v>
      </c>
      <c r="K745" s="2" t="n">
        <v>11182.38</v>
      </c>
      <c r="L745" s="2" t="s">
        <v>21</v>
      </c>
      <c r="M745" s="2" t="n">
        <v>3.4</v>
      </c>
    </row>
    <row r="746" customFormat="false" ht="15" hidden="false" customHeight="false" outlineLevel="0" collapsed="false">
      <c r="A746" s="2" t="s">
        <v>1441</v>
      </c>
      <c r="B746" s="2" t="n">
        <v>30</v>
      </c>
      <c r="C746" s="2" t="s">
        <v>14</v>
      </c>
      <c r="D746" s="2" t="s">
        <v>23</v>
      </c>
      <c r="E746" s="2" t="s">
        <v>37</v>
      </c>
      <c r="F746" s="2" t="s">
        <v>151</v>
      </c>
      <c r="G746" s="2" t="s">
        <v>33</v>
      </c>
      <c r="H746" s="2" t="s">
        <v>1442</v>
      </c>
      <c r="I746" s="2" t="s">
        <v>437</v>
      </c>
      <c r="J746" s="2" t="n">
        <v>3</v>
      </c>
      <c r="K746" s="2" t="n">
        <v>6954.66</v>
      </c>
      <c r="L746" s="2" t="s">
        <v>21</v>
      </c>
      <c r="M746" s="2" t="n">
        <v>4.2</v>
      </c>
    </row>
    <row r="747" customFormat="false" ht="15" hidden="false" customHeight="false" outlineLevel="0" collapsed="false">
      <c r="A747" s="2" t="s">
        <v>1443</v>
      </c>
      <c r="B747" s="2" t="n">
        <v>65</v>
      </c>
      <c r="C747" s="2" t="s">
        <v>14</v>
      </c>
      <c r="D747" s="2" t="s">
        <v>64</v>
      </c>
      <c r="E747" s="2" t="s">
        <v>24</v>
      </c>
      <c r="F747" s="2" t="s">
        <v>94</v>
      </c>
      <c r="G747" s="2" t="s">
        <v>26</v>
      </c>
      <c r="H747" s="2" t="s">
        <v>191</v>
      </c>
      <c r="I747" s="2" t="s">
        <v>1196</v>
      </c>
      <c r="J747" s="2" t="n">
        <v>13</v>
      </c>
      <c r="K747" s="2" t="n">
        <v>25502.28</v>
      </c>
      <c r="L747" s="2" t="s">
        <v>119</v>
      </c>
      <c r="M747" s="2"/>
    </row>
    <row r="748" customFormat="false" ht="15" hidden="false" customHeight="false" outlineLevel="0" collapsed="false">
      <c r="A748" s="2" t="s">
        <v>1444</v>
      </c>
      <c r="B748" s="2" t="n">
        <v>55</v>
      </c>
      <c r="C748" s="2" t="s">
        <v>14</v>
      </c>
      <c r="D748" s="2" t="s">
        <v>31</v>
      </c>
      <c r="E748" s="2" t="s">
        <v>42</v>
      </c>
      <c r="F748" s="2" t="s">
        <v>108</v>
      </c>
      <c r="G748" s="2" t="s">
        <v>33</v>
      </c>
      <c r="H748" s="2" t="s">
        <v>1445</v>
      </c>
      <c r="I748" s="2" t="s">
        <v>962</v>
      </c>
      <c r="J748" s="2" t="n">
        <v>6</v>
      </c>
      <c r="K748" s="2" t="n">
        <v>10885.67</v>
      </c>
      <c r="L748" s="2" t="s">
        <v>119</v>
      </c>
      <c r="M748" s="2"/>
    </row>
    <row r="749" customFormat="false" ht="15" hidden="false" customHeight="false" outlineLevel="0" collapsed="false">
      <c r="A749" s="2" t="s">
        <v>1446</v>
      </c>
      <c r="B749" s="2" t="n">
        <v>45</v>
      </c>
      <c r="C749" s="2" t="s">
        <v>30</v>
      </c>
      <c r="D749" s="2" t="s">
        <v>31</v>
      </c>
      <c r="E749" s="2" t="s">
        <v>16</v>
      </c>
      <c r="F749" s="2" t="s">
        <v>90</v>
      </c>
      <c r="G749" s="2" t="s">
        <v>33</v>
      </c>
      <c r="H749" s="2" t="s">
        <v>421</v>
      </c>
      <c r="I749" s="2" t="s">
        <v>1437</v>
      </c>
      <c r="J749" s="2" t="n">
        <v>6</v>
      </c>
      <c r="K749" s="2" t="n">
        <v>9016.24</v>
      </c>
      <c r="L749" s="2" t="s">
        <v>21</v>
      </c>
      <c r="M749" s="2" t="n">
        <v>3.7</v>
      </c>
    </row>
    <row r="750" customFormat="false" ht="15" hidden="false" customHeight="false" outlineLevel="0" collapsed="false">
      <c r="A750" s="2" t="s">
        <v>1447</v>
      </c>
      <c r="B750" s="2" t="n">
        <v>89</v>
      </c>
      <c r="C750" s="2" t="s">
        <v>30</v>
      </c>
      <c r="D750" s="2" t="s">
        <v>52</v>
      </c>
      <c r="E750" s="2" t="s">
        <v>16</v>
      </c>
      <c r="F750" s="2" t="s">
        <v>47</v>
      </c>
      <c r="G750" s="2" t="s">
        <v>48</v>
      </c>
      <c r="H750" s="2" t="s">
        <v>1448</v>
      </c>
      <c r="I750" s="2" t="s">
        <v>419</v>
      </c>
      <c r="J750" s="2" t="n">
        <v>1</v>
      </c>
      <c r="K750" s="2" t="n">
        <v>4582.69</v>
      </c>
      <c r="L750" s="2" t="s">
        <v>97</v>
      </c>
      <c r="M750" s="2" t="n">
        <v>3.6</v>
      </c>
    </row>
    <row r="751" customFormat="false" ht="15" hidden="false" customHeight="false" outlineLevel="0" collapsed="false">
      <c r="A751" s="2" t="s">
        <v>1449</v>
      </c>
      <c r="B751" s="2" t="n">
        <v>59</v>
      </c>
      <c r="C751" s="2" t="s">
        <v>30</v>
      </c>
      <c r="D751" s="2" t="s">
        <v>64</v>
      </c>
      <c r="E751" s="2" t="s">
        <v>53</v>
      </c>
      <c r="F751" s="2" t="s">
        <v>54</v>
      </c>
      <c r="G751" s="2" t="s">
        <v>86</v>
      </c>
      <c r="H751" s="2" t="s">
        <v>261</v>
      </c>
      <c r="I751" s="2" t="s">
        <v>222</v>
      </c>
      <c r="J751" s="2" t="n">
        <v>5</v>
      </c>
      <c r="K751" s="2" t="n">
        <v>6165.28</v>
      </c>
      <c r="L751" s="2" t="s">
        <v>21</v>
      </c>
      <c r="M751" s="2" t="n">
        <v>4.7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4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3" t="s">
        <v>1450</v>
      </c>
    </row>
    <row r="2" customFormat="false" ht="15" hidden="false" customHeight="false" outlineLevel="0" collapsed="false">
      <c r="A2" s="4" t="s">
        <v>1451</v>
      </c>
    </row>
    <row r="4" customFormat="false" ht="15" hidden="false" customHeight="false" outlineLevel="0" collapsed="false">
      <c r="A4" s="5" t="s">
        <v>1452</v>
      </c>
      <c r="B4" s="6" t="s">
        <v>1453</v>
      </c>
    </row>
    <row r="6" customFormat="false" ht="15" hidden="false" customHeight="false" outlineLevel="0" collapsed="false">
      <c r="A6" s="7" t="s">
        <v>1454</v>
      </c>
      <c r="B6" s="7" t="str">
        <f aca="false">IF($B$4="All Hospitals","*",$B$4)</f>
        <v>*</v>
      </c>
    </row>
    <row r="8" customFormat="false" ht="15" hidden="false" customHeight="false" outlineLevel="0" collapsed="false">
      <c r="A8" s="8" t="s">
        <v>1455</v>
      </c>
      <c r="B8" s="8" t="s">
        <v>1456</v>
      </c>
      <c r="C8" s="8" t="s">
        <v>1457</v>
      </c>
      <c r="D8" s="8" t="s">
        <v>1458</v>
      </c>
    </row>
    <row r="9" customFormat="false" ht="22.05" hidden="false" customHeight="false" outlineLevel="0" collapsed="false">
      <c r="A9" s="9" t="n">
        <f aca="false">COUNTIFS('Raw Data'!D2:D751,$B$6)</f>
        <v>750</v>
      </c>
      <c r="B9" s="9" t="n">
        <f aca="false">ROUND(AVERAGEIFS('Raw Data'!J2:J751,'Raw Data'!D2:D751,$B$6),1)</f>
        <v>4.7</v>
      </c>
      <c r="C9" s="10" t="n">
        <f aca="false">ROUND(COUNTIFS('Raw Data'!D2:D751,$B$6,'Raw Data'!L2:L751,"Readmitted within 30d")/COUNTIFS('Raw Data'!D2:D751,$B$6)*100,1)</f>
        <v>19.1</v>
      </c>
      <c r="D9" s="11" t="n">
        <f aca="false">ROUND(AVERAGEIFS('Raw Data'!M2:M751,'Raw Data'!D2:D751,$B$6),2)</f>
        <v>3.55</v>
      </c>
    </row>
    <row r="11" customFormat="false" ht="15" hidden="false" customHeight="false" outlineLevel="0" collapsed="false">
      <c r="A11" s="12" t="s">
        <v>1459</v>
      </c>
      <c r="F11" s="12" t="s">
        <v>1460</v>
      </c>
    </row>
    <row r="12" customFormat="false" ht="15" hidden="false" customHeight="false" outlineLevel="0" collapsed="false">
      <c r="A12" s="13" t="s">
        <v>1461</v>
      </c>
      <c r="B12" s="13" t="s">
        <v>1462</v>
      </c>
      <c r="C12" s="13" t="s">
        <v>1457</v>
      </c>
      <c r="F12" s="13" t="s">
        <v>1463</v>
      </c>
      <c r="G12" s="13" t="s">
        <v>1462</v>
      </c>
      <c r="H12" s="13" t="s">
        <v>1464</v>
      </c>
    </row>
    <row r="13" customFormat="false" ht="15" hidden="false" customHeight="false" outlineLevel="0" collapsed="false">
      <c r="A13" s="14" t="s">
        <v>77</v>
      </c>
      <c r="B13" s="14" t="n">
        <f aca="false">COUNTIFS('Raw Data'!D2:D751,$B$6,'Raw Data'!G2:G751,A13)</f>
        <v>136</v>
      </c>
      <c r="C13" s="15" t="n">
        <f aca="false">ROUND(COUNTIFS('Raw Data'!D2:D751,$B$6,'Raw Data'!G2:G751,A13,'Raw Data'!L2:L751,"Readmitted within 30d")/B13*100,1)</f>
        <v>18.4</v>
      </c>
      <c r="F13" s="14" t="s">
        <v>42</v>
      </c>
      <c r="G13" s="14" t="n">
        <f aca="false">COUNTIFS('Raw Data'!D2:D751,$B$6,'Raw Data'!E2:E751,F13)</f>
        <v>118</v>
      </c>
      <c r="H13" s="16" t="n">
        <f aca="false">ROUND(SUMPRODUCT((($B$4="All Hospitals")+('Raw Data'!D2:D751=$B$4)&gt;0)*1,('Raw Data'!E2:E751=F13)*1,'Raw Data'!K2:K751/'Raw Data'!J2:J751)/G13,0)</f>
        <v>3022</v>
      </c>
    </row>
    <row r="14" customFormat="false" ht="15" hidden="false" customHeight="false" outlineLevel="0" collapsed="false">
      <c r="A14" s="14" t="s">
        <v>33</v>
      </c>
      <c r="B14" s="14" t="n">
        <f aca="false">COUNTIFS('Raw Data'!D2:D751,$B$6,'Raw Data'!G2:G751,A14)</f>
        <v>128</v>
      </c>
      <c r="C14" s="15" t="n">
        <f aca="false">ROUND(COUNTIFS('Raw Data'!D2:D751,$B$6,'Raw Data'!G2:G751,A14,'Raw Data'!L2:L751,"Readmitted within 30d")/B14*100,1)</f>
        <v>14.8</v>
      </c>
      <c r="F14" s="14" t="s">
        <v>53</v>
      </c>
      <c r="G14" s="14" t="n">
        <f aca="false">COUNTIFS('Raw Data'!D2:D751,$B$6,'Raw Data'!E2:E751,F14)</f>
        <v>120</v>
      </c>
      <c r="H14" s="16" t="n">
        <f aca="false">ROUND(SUMPRODUCT((($B$4="All Hospitals")+('Raw Data'!D2:D751=$B$4)&gt;0)*1,('Raw Data'!E2:E751=F14)*1,'Raw Data'!K2:K751/'Raw Data'!J2:J751)/G14,0)</f>
        <v>2522</v>
      </c>
    </row>
    <row r="15" customFormat="false" ht="15" hidden="false" customHeight="false" outlineLevel="0" collapsed="false">
      <c r="A15" s="14" t="s">
        <v>18</v>
      </c>
      <c r="B15" s="14" t="n">
        <f aca="false">COUNTIFS('Raw Data'!D2:D751,$B$6,'Raw Data'!G2:G751,A15)</f>
        <v>118</v>
      </c>
      <c r="C15" s="15" t="n">
        <f aca="false">ROUND(COUNTIFS('Raw Data'!D2:D751,$B$6,'Raw Data'!G2:G751,A15,'Raw Data'!L2:L751,"Readmitted within 30d")/B15*100,1)</f>
        <v>16.1</v>
      </c>
      <c r="F15" s="14" t="s">
        <v>59</v>
      </c>
      <c r="G15" s="14" t="n">
        <f aca="false">COUNTIFS('Raw Data'!D2:D751,$B$6,'Raw Data'!E2:E751,F15)</f>
        <v>116</v>
      </c>
      <c r="H15" s="16" t="n">
        <f aca="false">ROUND(SUMPRODUCT((($B$4="All Hospitals")+('Raw Data'!D2:D751=$B$4)&gt;0)*1,('Raw Data'!E2:E751=F15)*1,'Raw Data'!K2:K751/'Raw Data'!J2:J751)/G15,0)</f>
        <v>1793</v>
      </c>
    </row>
    <row r="16" customFormat="false" ht="15" hidden="false" customHeight="false" outlineLevel="0" collapsed="false">
      <c r="A16" s="14" t="s">
        <v>86</v>
      </c>
      <c r="B16" s="14" t="n">
        <f aca="false">COUNTIFS('Raw Data'!D2:D751,$B$6,'Raw Data'!G2:G751,A16)</f>
        <v>137</v>
      </c>
      <c r="C16" s="15" t="n">
        <f aca="false">ROUND(COUNTIFS('Raw Data'!D2:D751,$B$6,'Raw Data'!G2:G751,A16,'Raw Data'!L2:L751,"Readmitted within 30d")/B16*100,1)</f>
        <v>17.5</v>
      </c>
      <c r="F16" s="14" t="s">
        <v>24</v>
      </c>
      <c r="G16" s="14" t="n">
        <f aca="false">COUNTIFS('Raw Data'!D2:D751,$B$6,'Raw Data'!E2:E751,F16)</f>
        <v>124</v>
      </c>
      <c r="H16" s="16" t="n">
        <f aca="false">ROUND(SUMPRODUCT((($B$4="All Hospitals")+('Raw Data'!D2:D751=$B$4)&gt;0)*1,('Raw Data'!E2:E751=F16)*1,'Raw Data'!K2:K751/'Raw Data'!J2:J751)/G16,0)</f>
        <v>2551</v>
      </c>
    </row>
    <row r="17" customFormat="false" ht="15" hidden="false" customHeight="false" outlineLevel="0" collapsed="false">
      <c r="A17" s="14" t="s">
        <v>26</v>
      </c>
      <c r="B17" s="14" t="n">
        <f aca="false">COUNTIFS('Raw Data'!D2:D751,$B$6,'Raw Data'!G2:G751,A17)</f>
        <v>114</v>
      </c>
      <c r="C17" s="15" t="n">
        <f aca="false">ROUND(COUNTIFS('Raw Data'!D2:D751,$B$6,'Raw Data'!G2:G751,A17,'Raw Data'!L2:L751,"Readmitted within 30d")/B17*100,1)</f>
        <v>27.2</v>
      </c>
      <c r="F17" s="14" t="s">
        <v>16</v>
      </c>
      <c r="G17" s="14" t="n">
        <f aca="false">COUNTIFS('Raw Data'!D2:D751,$B$6,'Raw Data'!E2:E751,F17)</f>
        <v>137</v>
      </c>
      <c r="H17" s="16" t="n">
        <f aca="false">ROUND(SUMPRODUCT((($B$4="All Hospitals")+('Raw Data'!D2:D751=$B$4)&gt;0)*1,('Raw Data'!E2:E751=F17)*1,'Raw Data'!K2:K751/'Raw Data'!J2:J751)/G17,0)</f>
        <v>3229</v>
      </c>
    </row>
    <row r="18" customFormat="false" ht="15" hidden="false" customHeight="false" outlineLevel="0" collapsed="false">
      <c r="A18" s="14" t="s">
        <v>48</v>
      </c>
      <c r="B18" s="14" t="n">
        <f aca="false">COUNTIFS('Raw Data'!D2:D751,$B$6,'Raw Data'!G2:G751,A18)</f>
        <v>117</v>
      </c>
      <c r="C18" s="15" t="n">
        <f aca="false">ROUND(COUNTIFS('Raw Data'!D2:D751,$B$6,'Raw Data'!G2:G751,A18,'Raw Data'!L2:L751,"Readmitted within 30d")/B18*100,1)</f>
        <v>21.4</v>
      </c>
      <c r="F18" s="14" t="s">
        <v>37</v>
      </c>
      <c r="G18" s="14" t="n">
        <f aca="false">COUNTIFS('Raw Data'!D2:D751,$B$6,'Raw Data'!E2:E751,F18)</f>
        <v>135</v>
      </c>
      <c r="H18" s="16" t="n">
        <f aca="false">ROUND(SUMPRODUCT((($B$4="All Hospitals")+('Raw Data'!D2:D751=$B$4)&gt;0)*1,('Raw Data'!E2:E751=F18)*1,'Raw Data'!K2:K751/'Raw Data'!J2:J751)/G18,0)</f>
        <v>2039</v>
      </c>
    </row>
    <row r="21" customFormat="false" ht="15" hidden="false" customHeight="false" outlineLevel="0" collapsed="false">
      <c r="A21" s="12" t="s">
        <v>1465</v>
      </c>
      <c r="F21" s="12" t="s">
        <v>1466</v>
      </c>
    </row>
    <row r="22" customFormat="false" ht="15" hidden="false" customHeight="false" outlineLevel="0" collapsed="false">
      <c r="A22" s="13" t="s">
        <v>1467</v>
      </c>
      <c r="B22" s="13" t="s">
        <v>1462</v>
      </c>
      <c r="C22" s="13" t="s">
        <v>1457</v>
      </c>
      <c r="F22" s="13" t="s">
        <v>1468</v>
      </c>
      <c r="G22" s="13" t="s">
        <v>1469</v>
      </c>
      <c r="H22" s="13" t="s">
        <v>1470</v>
      </c>
    </row>
    <row r="23" customFormat="false" ht="15" hidden="false" customHeight="false" outlineLevel="0" collapsed="false">
      <c r="A23" s="14" t="s">
        <v>1471</v>
      </c>
      <c r="B23" s="14" t="n">
        <f aca="false">COUNTIFS('Raw Data'!D2:D751,$B$6,'Raw Data'!B2:B751,"&gt;="&amp;18,'Raw Data'!B2:B751,"&lt;="&amp;30)</f>
        <v>131</v>
      </c>
      <c r="C23" s="15" t="n">
        <f aca="false">ROUND(COUNTIFS('Raw Data'!D2:D751,$B$6,'Raw Data'!B2:B751,"&gt;="&amp;18,'Raw Data'!B2:B751,"&lt;="&amp;30,'Raw Data'!L2:L751,"Readmitted within 30d")/B23*100,1)</f>
        <v>19.8</v>
      </c>
      <c r="F23" s="14" t="s">
        <v>31</v>
      </c>
      <c r="G23" s="16" t="n">
        <f aca="false">ROUND(AVERAGEIFS('Raw Data'!K2:K751,'Raw Data'!D2:D751,F23),0)</f>
        <v>9543</v>
      </c>
      <c r="H23" s="15" t="n">
        <f aca="false">ROUND(COUNTIFS('Raw Data'!D2:D751,F23,'Raw Data'!L2:L751,"Readmitted within 30d")/COUNTIFS('Raw Data'!D2:D751,F23)*100,1)</f>
        <v>13.5</v>
      </c>
    </row>
    <row r="24" customFormat="false" ht="15" hidden="false" customHeight="false" outlineLevel="0" collapsed="false">
      <c r="A24" s="14" t="s">
        <v>1472</v>
      </c>
      <c r="B24" s="14" t="n">
        <f aca="false">COUNTIFS('Raw Data'!D2:D751,$B$6,'Raw Data'!B2:B751,"&gt;="&amp;31,'Raw Data'!B2:B751,"&lt;="&amp;45)</f>
        <v>149</v>
      </c>
      <c r="C24" s="15" t="n">
        <f aca="false">ROUND(COUNTIFS('Raw Data'!D2:D751,$B$6,'Raw Data'!B2:B751,"&gt;="&amp;31,'Raw Data'!B2:B751,"&lt;="&amp;45,'Raw Data'!L2:L751,"Readmitted within 30d")/B24*100,1)</f>
        <v>18.8</v>
      </c>
      <c r="F24" s="14" t="s">
        <v>52</v>
      </c>
      <c r="G24" s="16" t="n">
        <f aca="false">ROUND(AVERAGEIFS('Raw Data'!K2:K751,'Raw Data'!D2:D751,F24),0)</f>
        <v>9618</v>
      </c>
      <c r="H24" s="15" t="n">
        <f aca="false">ROUND(COUNTIFS('Raw Data'!D2:D751,F24,'Raw Data'!L2:L751,"Readmitted within 30d")/COUNTIFS('Raw Data'!D2:D751,F24)*100,1)</f>
        <v>23.3</v>
      </c>
    </row>
    <row r="25" customFormat="false" ht="15" hidden="false" customHeight="false" outlineLevel="0" collapsed="false">
      <c r="A25" s="14" t="s">
        <v>1473</v>
      </c>
      <c r="B25" s="14" t="n">
        <f aca="false">COUNTIFS('Raw Data'!D2:D751,$B$6,'Raw Data'!B2:B751,"&gt;="&amp;46,'Raw Data'!B2:B751,"&lt;="&amp;60)</f>
        <v>144</v>
      </c>
      <c r="C25" s="15" t="n">
        <f aca="false">ROUND(COUNTIFS('Raw Data'!D2:D751,$B$6,'Raw Data'!B2:B751,"&gt;="&amp;46,'Raw Data'!B2:B751,"&lt;="&amp;60,'Raw Data'!L2:L751,"Readmitted within 30d")/B25*100,1)</f>
        <v>18.1</v>
      </c>
      <c r="F25" s="14" t="s">
        <v>15</v>
      </c>
      <c r="G25" s="16" t="n">
        <f aca="false">ROUND(AVERAGEIFS('Raw Data'!K2:K751,'Raw Data'!D2:D751,F25),0)</f>
        <v>9382</v>
      </c>
      <c r="H25" s="15" t="n">
        <f aca="false">ROUND(COUNTIFS('Raw Data'!D2:D751,F25,'Raw Data'!L2:L751,"Readmitted within 30d")/COUNTIFS('Raw Data'!D2:D751,F25)*100,1)</f>
        <v>18.4</v>
      </c>
    </row>
    <row r="26" customFormat="false" ht="15" hidden="false" customHeight="false" outlineLevel="0" collapsed="false">
      <c r="A26" s="14" t="s">
        <v>1474</v>
      </c>
      <c r="B26" s="14" t="n">
        <f aca="false">COUNTIFS('Raw Data'!D2:D751,$B$6,'Raw Data'!B2:B751,"&gt;="&amp;61,'Raw Data'!B2:B751,"&lt;="&amp;75)</f>
        <v>155</v>
      </c>
      <c r="C26" s="15" t="n">
        <f aca="false">ROUND(COUNTIFS('Raw Data'!D2:D751,$B$6,'Raw Data'!B2:B751,"&gt;="&amp;61,'Raw Data'!B2:B751,"&lt;="&amp;75,'Raw Data'!L2:L751,"Readmitted within 30d")/B26*100,1)</f>
        <v>14.2</v>
      </c>
      <c r="F26" s="14" t="s">
        <v>64</v>
      </c>
      <c r="G26" s="16" t="n">
        <f aca="false">ROUND(AVERAGEIFS('Raw Data'!K2:K751,'Raw Data'!D2:D751,F26),0)</f>
        <v>9190</v>
      </c>
      <c r="H26" s="15" t="n">
        <f aca="false">ROUND(COUNTIFS('Raw Data'!D2:D751,F26,'Raw Data'!L2:L751,"Readmitted within 30d")/COUNTIFS('Raw Data'!D2:D751,F26)*100,1)</f>
        <v>21.6</v>
      </c>
    </row>
    <row r="27" customFormat="false" ht="15" hidden="false" customHeight="false" outlineLevel="0" collapsed="false">
      <c r="A27" s="14" t="s">
        <v>1475</v>
      </c>
      <c r="B27" s="14" t="n">
        <f aca="false">COUNTIFS('Raw Data'!D2:D751,$B$6,'Raw Data'!B2:B751,"&gt;="&amp;76,'Raw Data'!B2:B751,"&lt;="&amp;90)</f>
        <v>171</v>
      </c>
      <c r="C27" s="15" t="n">
        <f aca="false">ROUND(COUNTIFS('Raw Data'!D2:D751,$B$6,'Raw Data'!B2:B751,"&gt;="&amp;76,'Raw Data'!B2:B751,"&lt;="&amp;90,'Raw Data'!L2:L751,"Readmitted within 30d")/B27*100,1)</f>
        <v>24</v>
      </c>
      <c r="F27" s="14" t="s">
        <v>23</v>
      </c>
      <c r="G27" s="16" t="n">
        <f aca="false">ROUND(AVERAGEIFS('Raw Data'!K2:K751,'Raw Data'!D2:D751,F27),0)</f>
        <v>10106</v>
      </c>
      <c r="H27" s="15" t="n">
        <f aca="false">ROUND(COUNTIFS('Raw Data'!D2:D751,F27,'Raw Data'!L2:L751,"Readmitted within 30d")/COUNTIFS('Raw Data'!D2:D751,F27)*100,1)</f>
        <v>18.2</v>
      </c>
    </row>
  </sheetData>
  <dataValidations count="1">
    <dataValidation allowBlank="false" errorStyle="stop" operator="between" showDropDown="false" showErrorMessage="false" showInputMessage="false" sqref="B4" type="list">
      <formula1>"All Hospitals,City General,Northside Clinic,Riverside Medical,St. Mary's,Valley Health"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2026-06-29T20:02:07Z</dcterms:created>
  <dc:creator>openpyxl</dc:creator>
  <dc:description/>
  <dc:language>en-US</dc:language>
  <cp:lastModifiedBy/>
  <dcterms:modified xsi:type="dcterms:W3CDTF">2026-06-29T20:02:09Z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